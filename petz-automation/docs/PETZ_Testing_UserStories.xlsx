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locity Tracker" sheetId="1" state="visible" r:id="rId1"/>
    <sheet xmlns:r="http://schemas.openxmlformats.org/officeDocument/2006/relationships" name="Product Backlog" sheetId="2" state="visible" r:id="rId2"/>
    <sheet xmlns:r="http://schemas.openxmlformats.org/officeDocument/2006/relationships" name="Sprint 4 Backlog" sheetId="3" state="visible" r:id="rId3"/>
    <sheet xmlns:r="http://schemas.openxmlformats.org/officeDocument/2006/relationships" name="Tester Capac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 wrapText="1"/>
    </xf>
    <xf numFmtId="164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 ht="24" customHeight="1">
      <c r="A1" s="1" t="inlineStr">
        <is>
          <t>Sprint</t>
        </is>
      </c>
      <c r="B1" s="1" t="inlineStr">
        <is>
          <t>Sprint Goal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Committed SP</t>
        </is>
      </c>
      <c r="F1" s="1" t="inlineStr">
        <is>
          <t>Completed SP</t>
        </is>
      </c>
      <c r="G1" s="1" t="inlineStr">
        <is>
          <t>Velocity</t>
        </is>
      </c>
      <c r="H1" s="1" t="inlineStr">
        <is>
          <t>Status</t>
        </is>
      </c>
    </row>
    <row r="2" ht="52" customHeight="1">
      <c r="A2" s="2" t="inlineStr">
        <is>
          <t>Sprint 1</t>
        </is>
      </c>
      <c r="B2" s="3" t="inlineStr">
        <is>
          <t>Environment setup, DB schema, user stories sign-off, buyer/seller registration &amp; login, Angular landing page</t>
        </is>
      </c>
      <c r="C2" s="3" t="inlineStr">
        <is>
          <t>Mar 19, 2026</t>
        </is>
      </c>
      <c r="D2" s="3" t="inlineStr">
        <is>
          <t>Apr 01, 2026</t>
        </is>
      </c>
      <c r="E2" s="3" t="n">
        <v>28</v>
      </c>
      <c r="F2" s="3" t="n">
        <v>26</v>
      </c>
      <c r="G2" s="3">
        <f>F2</f>
        <v/>
      </c>
      <c r="H2" s="3" t="inlineStr">
        <is>
          <t>Completed</t>
        </is>
      </c>
    </row>
    <row r="3" ht="52" customHeight="1">
      <c r="A3" s="2" t="inlineStr">
        <is>
          <t>Sprint 2</t>
        </is>
      </c>
      <c r="B3" s="3" t="inlineStr">
        <is>
          <t>JWT authentication, role-based security, predictive alerts, user/pharmacy profile edit, JWT interceptor fix</t>
        </is>
      </c>
      <c r="C3" s="3" t="inlineStr">
        <is>
          <t>Mar 31, 2026</t>
        </is>
      </c>
      <c r="D3" s="3" t="inlineStr">
        <is>
          <t>Apr 10, 2026</t>
        </is>
      </c>
      <c r="E3" s="3" t="n">
        <v>34</v>
      </c>
      <c r="F3" s="3" t="n">
        <v>34</v>
      </c>
      <c r="G3" s="3">
        <f>F3</f>
        <v/>
      </c>
      <c r="H3" s="3" t="inlineStr">
        <is>
          <t>Completed</t>
        </is>
      </c>
    </row>
    <row r="4" ht="52" customHeight="1">
      <c r="A4" s="2" t="inlineStr">
        <is>
          <t>Sprint 3</t>
        </is>
      </c>
      <c r="B4" s="3" t="inlineStr">
        <is>
          <t>Admin enhancements, pagination across all views, Vitest unit tests, E2E tests, security cleanup, dark mode polish</t>
        </is>
      </c>
      <c r="C4" s="3" t="inlineStr">
        <is>
          <t>Apr 13, 2026</t>
        </is>
      </c>
      <c r="D4" s="3" t="inlineStr">
        <is>
          <t>Apr 24, 2026</t>
        </is>
      </c>
      <c r="E4" s="3" t="n">
        <v>32</v>
      </c>
      <c r="F4" s="3" t="n">
        <v>30</v>
      </c>
      <c r="G4" s="3">
        <f>F4</f>
        <v/>
      </c>
      <c r="H4" s="3" t="inlineStr">
        <is>
          <t>Completed</t>
        </is>
      </c>
    </row>
    <row r="5" ht="52" customHeight="1">
      <c r="A5" s="2" t="inlineStr">
        <is>
          <t>Sprint 4</t>
        </is>
      </c>
      <c r="B5" s="3" t="inlineStr">
        <is>
          <t>PETZ Testing — 20 test scenarios + 50 test cases authoring, sprint planning, velocity documentation</t>
        </is>
      </c>
      <c r="C5" s="3" t="inlineStr">
        <is>
          <t>Apr 27, 2026</t>
        </is>
      </c>
      <c r="D5" s="3" t="inlineStr">
        <is>
          <t>May 08, 2026</t>
        </is>
      </c>
      <c r="E5" s="3" t="n">
        <v>36</v>
      </c>
      <c r="F5" s="3" t="inlineStr">
        <is>
          <t>In Progress</t>
        </is>
      </c>
      <c r="G5" s="3">
        <f>AVERAGE(F2:F4)</f>
        <v/>
      </c>
      <c r="H5" s="3" t="inlineStr">
        <is>
          <t>In Progress</t>
        </is>
      </c>
    </row>
    <row r="7" ht="10" customHeight="1"/>
    <row r="8" ht="24" customHeight="1">
      <c r="A8" s="1" t="inlineStr">
        <is>
          <t>Metric</t>
        </is>
      </c>
      <c r="B8" s="4" t="n"/>
      <c r="C8" s="4" t="n"/>
      <c r="D8" s="5" t="n"/>
      <c r="E8" s="1" t="inlineStr">
        <is>
          <t>Value</t>
        </is>
      </c>
      <c r="F8" s="4" t="n"/>
      <c r="G8" s="4" t="n"/>
      <c r="H8" s="5" t="n"/>
    </row>
    <row r="9" ht="28" customHeight="1">
      <c r="A9" s="2" t="inlineStr">
        <is>
          <t>Average Velocity (Sprint 1–3)</t>
        </is>
      </c>
      <c r="E9" s="6">
        <f>AVERAGE(G2:G4)</f>
        <v/>
      </c>
    </row>
    <row r="10" ht="28" customHeight="1">
      <c r="A10" s="2" t="inlineStr">
        <is>
          <t>Sprint 4 Projected Velocity</t>
        </is>
      </c>
      <c r="E10" s="6">
        <f>G5</f>
        <v/>
      </c>
    </row>
    <row r="11" ht="28" customHeight="1">
      <c r="A11" s="2" t="inlineStr">
        <is>
          <t>Total Story Points Committed (Sprint 1–4)</t>
        </is>
      </c>
      <c r="E11" s="6">
        <f>SUM(E2:E5)</f>
        <v/>
      </c>
    </row>
    <row r="12" ht="28" customHeight="1">
      <c r="A12" s="2" t="inlineStr">
        <is>
          <t>Total Story Points Completed (Sprint 1–3)</t>
        </is>
      </c>
      <c r="E12" s="6">
        <f>SUM(F2:F4)</f>
        <v/>
      </c>
    </row>
    <row r="13" ht="28" customHeight="1">
      <c r="A13" s="2" t="inlineStr">
        <is>
          <t>Sprint 4 Committed Story Points</t>
        </is>
      </c>
      <c r="E13" s="6">
        <f>E5</f>
        <v/>
      </c>
    </row>
    <row r="14" ht="28" customHeight="1">
      <c r="A14" s="2" t="inlineStr">
        <is>
          <t>Completion Rate — Sprint 1–3 Average</t>
        </is>
      </c>
      <c r="E14" s="7">
        <f>AVERAGE(F2:F4)/AVERAGE(E2:E4)</f>
        <v/>
      </c>
    </row>
  </sheetData>
  <mergeCells count="14">
    <mergeCell ref="E14:H14"/>
    <mergeCell ref="A9:D9"/>
    <mergeCell ref="E9:H9"/>
    <mergeCell ref="A8:D8"/>
    <mergeCell ref="E8:H8"/>
    <mergeCell ref="A12:D12"/>
    <mergeCell ref="E12:H12"/>
    <mergeCell ref="A13:D13"/>
    <mergeCell ref="A11:D11"/>
    <mergeCell ref="A10:D10"/>
    <mergeCell ref="E10:H10"/>
    <mergeCell ref="E11:H11"/>
    <mergeCell ref="A14:D14"/>
    <mergeCell ref="E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4" customWidth="1" min="3" max="3"/>
    <col width="54" customWidth="1" min="4" max="4"/>
    <col width="13" customWidth="1" min="5" max="5"/>
    <col width="10" customWidth="1" min="6" max="6"/>
    <col width="26" customWidth="1" min="7" max="7"/>
    <col width="10" customWidth="1" min="8" max="8"/>
    <col width="12" customWidth="1" min="9" max="9"/>
  </cols>
  <sheetData>
    <row r="1" ht="24" customHeight="1">
      <c r="A1" s="1" t="inlineStr">
        <is>
          <t>US ID</t>
        </is>
      </c>
      <c r="B1" s="1" t="inlineStr">
        <is>
          <t>Epic</t>
        </is>
      </c>
      <c r="C1" s="1" t="inlineStr">
        <is>
          <t>User Story</t>
        </is>
      </c>
      <c r="D1" s="1" t="inlineStr">
        <is>
          <t>Acceptance Criteria (Summary)</t>
        </is>
      </c>
      <c r="E1" s="1" t="inlineStr">
        <is>
          <t>Story Points</t>
        </is>
      </c>
      <c r="F1" s="1" t="inlineStr">
        <is>
          <t>Priority</t>
        </is>
      </c>
      <c r="G1" s="1" t="inlineStr">
        <is>
          <t>Linked Scenario</t>
        </is>
      </c>
      <c r="H1" s="1" t="inlineStr">
        <is>
          <t>Sprint</t>
        </is>
      </c>
      <c r="I1" s="1" t="inlineStr">
        <is>
          <t>Status</t>
        </is>
      </c>
    </row>
    <row r="2" ht="52" customHeight="1">
      <c r="A2" s="2" t="inlineStr">
        <is>
          <t>US-001</t>
        </is>
      </c>
      <c r="B2" s="3" t="inlineStr">
        <is>
          <t>Auth &amp; Session</t>
        </is>
      </c>
      <c r="C2" s="3" t="inlineStr">
        <is>
          <t>As a citizen, I want to receive an OTP on my phone so that I can log in without a password</t>
        </is>
      </c>
      <c r="D2" s="3" t="inlineStr">
        <is>
          <t>POST /auth/send-otp returns 200 for valid +91 number; 400 for missing country code; 429 after 5 requests/hour</t>
        </is>
      </c>
      <c r="E2" s="3" t="n">
        <v>3</v>
      </c>
      <c r="F2" s="3" t="inlineStr">
        <is>
          <t>High</t>
        </is>
      </c>
      <c r="G2" s="3" t="inlineStr">
        <is>
          <t>PETZ_TS_01_OTP_Auth</t>
        </is>
      </c>
      <c r="H2" s="3" t="inlineStr">
        <is>
          <t>Sprint 4</t>
        </is>
      </c>
      <c r="I2" s="3" t="inlineStr">
        <is>
          <t>To Do</t>
        </is>
      </c>
    </row>
    <row r="3" ht="52" customHeight="1">
      <c r="A3" s="2" t="inlineStr">
        <is>
          <t>US-002</t>
        </is>
      </c>
      <c r="B3" s="3" t="inlineStr">
        <is>
          <t>Auth &amp; Session</t>
        </is>
      </c>
      <c r="C3" s="3" t="inlineStr">
        <is>
          <t>As a citizen, I want to verify my OTP so that I receive a REPORTER session token</t>
        </is>
      </c>
      <c r="D3" s="3" t="inlineStr">
        <is>
          <t>POST /auth/verify-otp returns JWT (isTemporarySession:true, role:REPORTER) for correct 6-digit OTP; 400 for wrong or short OTP</t>
        </is>
      </c>
      <c r="E3" s="3" t="n">
        <v>3</v>
      </c>
      <c r="F3" s="3" t="inlineStr">
        <is>
          <t>High</t>
        </is>
      </c>
      <c r="G3" s="3" t="inlineStr">
        <is>
          <t>PETZ_TS_01_OTP_Auth</t>
        </is>
      </c>
      <c r="H3" s="3" t="inlineStr">
        <is>
          <t>Sprint 4</t>
        </is>
      </c>
      <c r="I3" s="3" t="inlineStr">
        <is>
          <t>To Do</t>
        </is>
      </c>
    </row>
    <row r="4" ht="52" customHeight="1">
      <c r="A4" s="2" t="inlineStr">
        <is>
          <t>US-003</t>
        </is>
      </c>
      <c r="B4" s="3" t="inlineStr">
        <is>
          <t>Auth &amp; Session</t>
        </is>
      </c>
      <c r="C4" s="3" t="inlineStr">
        <is>
          <t>As a citizen, I want to use a missed-call fallback so that I can authenticate even if SMS fails</t>
        </is>
      </c>
      <c r="D4" s="3" t="inlineStr">
        <is>
          <t>Missed-call link navigates to /sos/auth/missed-call; verification flow completes successfully</t>
        </is>
      </c>
      <c r="E4" s="3" t="n">
        <v>2</v>
      </c>
      <c r="F4" s="3" t="inlineStr">
        <is>
          <t>Medium</t>
        </is>
      </c>
      <c r="G4" s="3" t="inlineStr">
        <is>
          <t>PETZ_TS_01_OTP_Auth</t>
        </is>
      </c>
      <c r="H4" s="3" t="inlineStr">
        <is>
          <t>Sprint 4</t>
        </is>
      </c>
      <c r="I4" s="3" t="inlineStr">
        <is>
          <t>To Do</t>
        </is>
      </c>
    </row>
    <row r="5" ht="52" customHeight="1">
      <c r="A5" s="2" t="inlineStr">
        <is>
          <t>US-004</t>
        </is>
      </c>
      <c r="B5" s="3" t="inlineStr">
        <is>
          <t>Auth &amp; Session</t>
        </is>
      </c>
      <c r="C5" s="3" t="inlineStr">
        <is>
          <t>As a new user, I want to register a full account so that I can access adopter features</t>
        </is>
      </c>
      <c r="D5" s="3" t="inlineStr">
        <is>
          <t>POST /auth/register creates ADOPTER; duplicate email/phone returns 409; weak password returns 400; ADMIN role blocked</t>
        </is>
      </c>
      <c r="E5" s="3" t="n">
        <v>3</v>
      </c>
      <c r="F5" s="3" t="inlineStr">
        <is>
          <t>High</t>
        </is>
      </c>
      <c r="G5" s="3" t="inlineStr">
        <is>
          <t>PETZ_TS_02_Registration_Login</t>
        </is>
      </c>
      <c r="H5" s="3" t="inlineStr">
        <is>
          <t>Sprint 4</t>
        </is>
      </c>
      <c r="I5" s="3" t="inlineStr">
        <is>
          <t>To Do</t>
        </is>
      </c>
    </row>
    <row r="6" ht="52" customHeight="1">
      <c r="A6" s="2" t="inlineStr">
        <is>
          <t>US-005</t>
        </is>
      </c>
      <c r="B6" s="3" t="inlineStr">
        <is>
          <t>Auth &amp; Session</t>
        </is>
      </c>
      <c r="C6" s="3" t="inlineStr">
        <is>
          <t>As a registered user, I want to log in with email or phone + password so that I can access my account</t>
        </is>
      </c>
      <c r="D6" s="3" t="inlineStr">
        <is>
          <t>POST /auth/login returns JWT for valid credentials; 401 for wrong password; 423 after 5 failures; 15-min auto-unlock</t>
        </is>
      </c>
      <c r="E6" s="3" t="n">
        <v>3</v>
      </c>
      <c r="F6" s="3" t="inlineStr">
        <is>
          <t>High</t>
        </is>
      </c>
      <c r="G6" s="3" t="inlineStr">
        <is>
          <t>PETZ_TS_02_Registration_Login</t>
        </is>
      </c>
      <c r="H6" s="3" t="inlineStr">
        <is>
          <t>Sprint 4</t>
        </is>
      </c>
      <c r="I6" s="3" t="inlineStr">
        <is>
          <t>To Do</t>
        </is>
      </c>
    </row>
    <row r="7" ht="52" customHeight="1">
      <c r="A7" s="2" t="inlineStr">
        <is>
          <t>US-006</t>
        </is>
      </c>
      <c r="B7" s="3" t="inlineStr">
        <is>
          <t>Auth &amp; Session</t>
        </is>
      </c>
      <c r="C7" s="3" t="inlineStr">
        <is>
          <t>As a temporary REPORTER, I want to convert my session to a full account so that I retain my rescue history</t>
        </is>
      </c>
      <c r="D7" s="3" t="inlineStr">
        <is>
          <t>POST /auth/convert-session upgrades REPORTER JWT; full account login works with new credentials</t>
        </is>
      </c>
      <c r="E7" s="3" t="n">
        <v>2</v>
      </c>
      <c r="F7" s="3" t="inlineStr">
        <is>
          <t>High</t>
        </is>
      </c>
      <c r="G7" s="3" t="inlineStr">
        <is>
          <t>PETZ_TS_03_SessionAndProfile</t>
        </is>
      </c>
      <c r="H7" s="3" t="inlineStr">
        <is>
          <t>Sprint 4</t>
        </is>
      </c>
      <c r="I7" s="3" t="inlineStr">
        <is>
          <t>To Do</t>
        </is>
      </c>
    </row>
    <row r="8" ht="52" customHeight="1">
      <c r="A8" s="2" t="inlineStr">
        <is>
          <t>US-007</t>
        </is>
      </c>
      <c r="B8" s="3" t="inlineStr">
        <is>
          <t>User Profile</t>
        </is>
      </c>
      <c r="C8" s="3" t="inlineStr">
        <is>
          <t>As an authenticated user, I want to view my profile so that I can see my current details</t>
        </is>
      </c>
      <c r="D8" s="3" t="inlineStr">
        <is>
          <t>GET /users/me returns id, role, fullName, phone, email, phoneVerified, emailVerified, active, lastLoginAt; 401 without token</t>
        </is>
      </c>
      <c r="E8" s="3" t="n">
        <v>2</v>
      </c>
      <c r="F8" s="3" t="inlineStr">
        <is>
          <t>High</t>
        </is>
      </c>
      <c r="G8" s="3" t="inlineStr">
        <is>
          <t>PETZ_TS_03_SessionAndProfile</t>
        </is>
      </c>
      <c r="H8" s="3" t="inlineStr">
        <is>
          <t>Sprint 4</t>
        </is>
      </c>
      <c r="I8" s="3" t="inlineStr">
        <is>
          <t>To Do</t>
        </is>
      </c>
    </row>
    <row r="9" ht="52" customHeight="1">
      <c r="A9" s="2" t="inlineStr">
        <is>
          <t>US-008</t>
        </is>
      </c>
      <c r="B9" s="3" t="inlineStr">
        <is>
          <t>User Profile</t>
        </is>
      </c>
      <c r="C9" s="3" t="inlineStr">
        <is>
          <t>As an authenticated user, I want to update my name, email, and phone so that my details stay current</t>
        </is>
      </c>
      <c r="D9" s="3" t="inlineStr">
        <is>
          <t>PATCH /users/me updates fields; changing email/phone resets verified flag to false</t>
        </is>
      </c>
      <c r="E9" s="3" t="n">
        <v>2</v>
      </c>
      <c r="F9" s="3" t="inlineStr">
        <is>
          <t>Medium</t>
        </is>
      </c>
      <c r="G9" s="3" t="inlineStr">
        <is>
          <t>PETZ_TS_03_SessionAndProfile</t>
        </is>
      </c>
      <c r="H9" s="3" t="inlineStr">
        <is>
          <t>Sprint 4</t>
        </is>
      </c>
      <c r="I9" s="3" t="inlineStr">
        <is>
          <t>To Do</t>
        </is>
      </c>
    </row>
    <row r="10" ht="52" customHeight="1">
      <c r="A10" s="2" t="inlineStr">
        <is>
          <t>US-009</t>
        </is>
      </c>
      <c r="B10" s="3" t="inlineStr">
        <is>
          <t>User Profile</t>
        </is>
      </c>
      <c r="C10" s="3" t="inlineStr">
        <is>
          <t>As an authenticated user, I want to change my password so that I can keep my account secure</t>
        </is>
      </c>
      <c r="D10" s="3" t="inlineStr">
        <is>
          <t>POST /users/me/password succeeds with correct current password; old password rejected after change; wrong current password returns 400</t>
        </is>
      </c>
      <c r="E10" s="3" t="n">
        <v>2</v>
      </c>
      <c r="F10" s="3" t="inlineStr">
        <is>
          <t>Medium</t>
        </is>
      </c>
      <c r="G10" s="3" t="inlineStr">
        <is>
          <t>PETZ_TS_03_SessionAndProfile</t>
        </is>
      </c>
      <c r="H10" s="3" t="inlineStr">
        <is>
          <t>Sprint 4</t>
        </is>
      </c>
      <c r="I10" s="3" t="inlineStr">
        <is>
          <t>To Do</t>
        </is>
      </c>
    </row>
    <row r="11" ht="52" customHeight="1">
      <c r="A11" s="2" t="inlineStr">
        <is>
          <t>US-010</t>
        </is>
      </c>
      <c r="B11" s="3" t="inlineStr">
        <is>
          <t>User Profile</t>
        </is>
      </c>
      <c r="C11" s="3" t="inlineStr">
        <is>
          <t>As a user, I want to upload a profile photo so that my account has a recognisable avatar</t>
        </is>
      </c>
      <c r="D11" s="3" t="inlineStr">
        <is>
          <t>POST /users/me/photo accepts JPEG/PNG &lt;=20 MB; returns non-null profilePhotoUrl; &gt;20 MB returns 400/413</t>
        </is>
      </c>
      <c r="E11" s="3" t="n">
        <v>1</v>
      </c>
      <c r="F11" s="3" t="inlineStr">
        <is>
          <t>Low</t>
        </is>
      </c>
      <c r="G11" s="3" t="inlineStr">
        <is>
          <t>PETZ_TS_03_SessionAndProfile</t>
        </is>
      </c>
      <c r="H11" s="3" t="inlineStr">
        <is>
          <t>Sprint 4</t>
        </is>
      </c>
      <c r="I11" s="3" t="inlineStr">
        <is>
          <t>To Do</t>
        </is>
      </c>
    </row>
    <row r="12" ht="52" customHeight="1">
      <c r="A12" s="2" t="inlineStr">
        <is>
          <t>US-011</t>
        </is>
      </c>
      <c r="B12" s="3" t="inlineStr">
        <is>
          <t>Notifications</t>
        </is>
      </c>
      <c r="C12" s="3" t="inlineStr">
        <is>
          <t>As a user, I want to see a paginated notifications list so that I can review all platform alerts</t>
        </is>
      </c>
      <c r="D12" s="3" t="inlineStr">
        <is>
          <t>GET /users/me/notifications returns newest-first paginated list; unreadOnly=true filters correctly; unread-count is accurate</t>
        </is>
      </c>
      <c r="E12" s="3" t="n">
        <v>2</v>
      </c>
      <c r="F12" s="3" t="inlineStr">
        <is>
          <t>Medium</t>
        </is>
      </c>
      <c r="G12" s="3" t="inlineStr">
        <is>
          <t>PETZ_TS_04_Notifications</t>
        </is>
      </c>
      <c r="H12" s="3" t="inlineStr">
        <is>
          <t>Sprint 4</t>
        </is>
      </c>
      <c r="I12" s="3" t="inlineStr">
        <is>
          <t>To Do</t>
        </is>
      </c>
    </row>
    <row r="13" ht="52" customHeight="1">
      <c r="A13" s="2" t="inlineStr">
        <is>
          <t>US-012</t>
        </is>
      </c>
      <c r="B13" s="3" t="inlineStr">
        <is>
          <t>Notifications</t>
        </is>
      </c>
      <c r="C13" s="3" t="inlineStr">
        <is>
          <t>As a user, I want to mark notifications as read and delete them so that I can manage my inbox</t>
        </is>
      </c>
      <c r="D13" s="3" t="inlineStr">
        <is>
          <t>PATCH /{id}/read marks single; PATCH /read-all marks all; DELETE removes notification (404 on re-fetch); cross-user access returns 403</t>
        </is>
      </c>
      <c r="E13" s="3" t="n">
        <v>2</v>
      </c>
      <c r="F13" s="3" t="inlineStr">
        <is>
          <t>Medium</t>
        </is>
      </c>
      <c r="G13" s="3" t="inlineStr">
        <is>
          <t>PETZ_TS_04_Notifications</t>
        </is>
      </c>
      <c r="H13" s="3" t="inlineStr">
        <is>
          <t>Sprint 4</t>
        </is>
      </c>
      <c r="I13" s="3" t="inlineStr">
        <is>
          <t>To Do</t>
        </is>
      </c>
    </row>
    <row r="14" ht="52" customHeight="1">
      <c r="A14" s="2" t="inlineStr">
        <is>
          <t>US-013</t>
        </is>
      </c>
      <c r="B14" s="3" t="inlineStr">
        <is>
          <t>SOS Reporting</t>
        </is>
      </c>
      <c r="C14" s="3" t="inlineStr">
        <is>
          <t>As a citizen, I want to submit an SOS report with urgency level and location so that help can be dispatched</t>
        </is>
      </c>
      <c r="D14" s="3" t="inlineStr">
        <is>
          <t>POST /sos-reports accepts CRITICAL/MODERATE/LOW; boundary coordinates validated; missing fields return 400; 3/hour rate limit enforced</t>
        </is>
      </c>
      <c r="E14" s="3" t="n">
        <v>3</v>
      </c>
      <c r="F14" s="3" t="inlineStr">
        <is>
          <t>High</t>
        </is>
      </c>
      <c r="G14" s="3" t="inlineStr">
        <is>
          <t>PETZ_TS_05_SOSReportCreation</t>
        </is>
      </c>
      <c r="H14" s="3" t="inlineStr">
        <is>
          <t>Sprint 4</t>
        </is>
      </c>
      <c r="I14" s="3" t="inlineStr">
        <is>
          <t>To Do</t>
        </is>
      </c>
    </row>
    <row r="15" ht="52" customHeight="1">
      <c r="A15" s="2" t="inlineStr">
        <is>
          <t>US-014</t>
        </is>
      </c>
      <c r="B15" s="3" t="inlineStr">
        <is>
          <t>SOS Reporting</t>
        </is>
      </c>
      <c r="C15" s="3" t="inlineStr">
        <is>
          <t>As a reporter, I want to attach photos and videos to my SOS so that rescuers understand the situation</t>
        </is>
      </c>
      <c r="D15" s="3" t="inlineStr">
        <is>
          <t>POST /sos-reports/{id}/media accepts JPEG/PNG/MP4; 3-photo cap; 1-video cap; &gt;20 MB rejected; all URLs returned on GET</t>
        </is>
      </c>
      <c r="E15" s="3" t="n">
        <v>2</v>
      </c>
      <c r="F15" s="3" t="inlineStr">
        <is>
          <t>High</t>
        </is>
      </c>
      <c r="G15" s="3" t="inlineStr">
        <is>
          <t>PETZ_TS_06_SOSMedia</t>
        </is>
      </c>
      <c r="H15" s="3" t="inlineStr">
        <is>
          <t>Sprint 4</t>
        </is>
      </c>
      <c r="I15" s="3" t="inlineStr">
        <is>
          <t>To Do</t>
        </is>
      </c>
    </row>
    <row r="16" ht="52" customHeight="1">
      <c r="A16" s="2" t="inlineStr">
        <is>
          <t>US-015</t>
        </is>
      </c>
      <c r="B16" s="3" t="inlineStr">
        <is>
          <t>NGO &amp; Rescue</t>
        </is>
      </c>
      <c r="C16" s="3" t="inlineStr">
        <is>
          <t>As an NGO representative, I want to register my NGO so that it can be assigned rescue missions</t>
        </is>
      </c>
      <c r="D16" s="3" t="inlineStr">
        <is>
          <t>POST /ngo/register creates NGO (isVerified:false); second registration returns 409; unverified NGO hidden from public browse</t>
        </is>
      </c>
      <c r="E16" s="3" t="n">
        <v>3</v>
      </c>
      <c r="F16" s="3" t="inlineStr">
        <is>
          <t>High</t>
        </is>
      </c>
      <c r="G16" s="3" t="inlineStr">
        <is>
          <t>PETZ_TS_07_NGO_Registration_Mission</t>
        </is>
      </c>
      <c r="H16" s="3" t="inlineStr">
        <is>
          <t>Sprint 4</t>
        </is>
      </c>
      <c r="I16" s="3" t="inlineStr">
        <is>
          <t>To Do</t>
        </is>
      </c>
    </row>
    <row r="17" ht="52" customHeight="1">
      <c r="A17" s="2" t="inlineStr">
        <is>
          <t>US-016</t>
        </is>
      </c>
      <c r="B17" s="3" t="inlineStr">
        <is>
          <t>NGO &amp; Rescue</t>
        </is>
      </c>
      <c r="C17" s="3" t="inlineStr">
        <is>
          <t>As an NGO volunteer, I want to update a rescue mission status so that the platform tracks progress</t>
        </is>
      </c>
      <c r="D17" s="3" t="inlineStr">
        <is>
          <t>PUT /rescue-missions/{id}/status transitions DISPATCHED to ON_SITE to TRANSPORTING to COMPLETED; summary stored; admin verify closes case</t>
        </is>
      </c>
      <c r="E17" s="3" t="n">
        <v>3</v>
      </c>
      <c r="F17" s="3" t="inlineStr">
        <is>
          <t>High</t>
        </is>
      </c>
      <c r="G17" s="3" t="inlineStr">
        <is>
          <t>PETZ_TS_07_NGO_Registration_Mission</t>
        </is>
      </c>
      <c r="H17" s="3" t="inlineStr">
        <is>
          <t>Sprint 4</t>
        </is>
      </c>
      <c r="I17" s="3" t="inlineStr">
        <is>
          <t>To Do</t>
        </is>
      </c>
    </row>
    <row r="18" ht="52" customHeight="1">
      <c r="A18" s="2" t="inlineStr">
        <is>
          <t>US-017</t>
        </is>
      </c>
      <c r="B18" s="3" t="inlineStr">
        <is>
          <t>NGO &amp; Rescue</t>
        </is>
      </c>
      <c r="C18" s="3" t="inlineStr">
        <is>
          <t>As a volunteer on-site, I want to record arrival, assess the animal, and find nearby hospitals</t>
        </is>
      </c>
      <c r="D18" s="3" t="inlineStr">
        <is>
          <t>PATCH /rescue/{sosId}/arrival marks ON_SITE; POST /assessment stores condition; GET /hospitals/nearby returns sorted emergency list</t>
        </is>
      </c>
      <c r="E18" s="3" t="n">
        <v>3</v>
      </c>
      <c r="F18" s="3" t="inlineStr">
        <is>
          <t>High</t>
        </is>
      </c>
      <c r="G18" s="3" t="inlineStr">
        <is>
          <t>PETZ_TS_08_OnSiteRescue</t>
        </is>
      </c>
      <c r="H18" s="3" t="inlineStr">
        <is>
          <t>Sprint 4</t>
        </is>
      </c>
      <c r="I18" s="3" t="inlineStr">
        <is>
          <t>To Do</t>
        </is>
      </c>
    </row>
    <row r="19" ht="52" customHeight="1">
      <c r="A19" s="2" t="inlineStr">
        <is>
          <t>US-018</t>
        </is>
      </c>
      <c r="B19" s="3" t="inlineStr">
        <is>
          <t>NGO &amp; Rescue</t>
        </is>
      </c>
      <c r="C19" s="3" t="inlineStr">
        <is>
          <t>As a vet, I want to receive a handover and confirm animal release so that the case can be closed</t>
        </is>
      </c>
      <c r="D19" s="3" t="inlineStr">
        <is>
          <t>POST /alert and /booking create emergency record; POST /handover requires VET/ADMIN role (403 for REPORTER); POST /release confirms closure</t>
        </is>
      </c>
      <c r="E19" s="3" t="n">
        <v>3</v>
      </c>
      <c r="F19" s="3" t="inlineStr">
        <is>
          <t>High</t>
        </is>
      </c>
      <c r="G19" s="3" t="inlineStr">
        <is>
          <t>PETZ_TS_08_OnSiteRescue</t>
        </is>
      </c>
      <c r="H19" s="3" t="inlineStr">
        <is>
          <t>Sprint 4</t>
        </is>
      </c>
      <c r="I19" s="3" t="inlineStr">
        <is>
          <t>To Do</t>
        </is>
      </c>
    </row>
    <row r="20" ht="52" customHeight="1">
      <c r="A20" s="2" t="inlineStr">
        <is>
          <t>US-019</t>
        </is>
      </c>
      <c r="B20" s="3" t="inlineStr">
        <is>
          <t>Hospitals</t>
        </is>
      </c>
      <c r="C20" s="3" t="inlineStr">
        <is>
          <t>As a citizen, I want to browse verified hospitals sorted by distance so that I can find the nearest help</t>
        </is>
      </c>
      <c r="D20" s="3" t="inlineStr">
        <is>
          <t>GET /hospitals without auth returns verified-only; lat/lon sorts by distanceKm; disabled/unverified excluded</t>
        </is>
      </c>
      <c r="E20" s="3" t="n">
        <v>2</v>
      </c>
      <c r="F20" s="3" t="inlineStr">
        <is>
          <t>High</t>
        </is>
      </c>
      <c r="G20" s="3" t="inlineStr">
        <is>
          <t>PETZ_TS_09_HospitalDiscovery</t>
        </is>
      </c>
      <c r="H20" s="3" t="inlineStr">
        <is>
          <t>Sprint 4</t>
        </is>
      </c>
      <c r="I20" s="3" t="inlineStr">
        <is>
          <t>To Do</t>
        </is>
      </c>
    </row>
    <row r="21" ht="52" customHeight="1">
      <c r="A21" s="2" t="inlineStr">
        <is>
          <t>US-020</t>
        </is>
      </c>
      <c r="B21" s="3" t="inlineStr">
        <is>
          <t>Hospitals</t>
        </is>
      </c>
      <c r="C21" s="3" t="inlineStr">
        <is>
          <t>As a user, I want to search hospitals by city, service type, and availability so that I can filter results</t>
        </is>
      </c>
      <c r="D21" s="3" t="inlineStr">
        <is>
          <t>GET /hospitals/search filters by city, emergencyReady, openNow, serviceType; full profile returns services and doctors</t>
        </is>
      </c>
      <c r="E21" s="3" t="n">
        <v>2</v>
      </c>
      <c r="F21" s="3" t="inlineStr">
        <is>
          <t>High</t>
        </is>
      </c>
      <c r="G21" s="3" t="inlineStr">
        <is>
          <t>PETZ_TS_09_HospitalDiscovery</t>
        </is>
      </c>
      <c r="H21" s="3" t="inlineStr">
        <is>
          <t>Sprint 4</t>
        </is>
      </c>
      <c r="I21" s="3" t="inlineStr">
        <is>
          <t>To Do</t>
        </is>
      </c>
    </row>
    <row r="22" ht="52" customHeight="1">
      <c r="A22" s="2" t="inlineStr">
        <is>
          <t>US-021</t>
        </is>
      </c>
      <c r="B22" s="3" t="inlineStr">
        <is>
          <t>Hospitals</t>
        </is>
      </c>
      <c r="C22" s="3" t="inlineStr">
        <is>
          <t>As a hospital admin, I want to create and manage appointment slots so that patients can book sessions</t>
        </is>
      </c>
      <c r="D22" s="3" t="inlineStr">
        <is>
          <t>POST /hospitals/slots requires HH:mm:ss format; recurring slots created for specified days; blackout locks AVAILABLE (not BOOKED) slots</t>
        </is>
      </c>
      <c r="E22" s="3" t="n">
        <v>3</v>
      </c>
      <c r="F22" s="3" t="inlineStr">
        <is>
          <t>High</t>
        </is>
      </c>
      <c r="G22" s="3" t="inlineStr">
        <is>
          <t>PETZ_TS_10_SlotManagement</t>
        </is>
      </c>
      <c r="H22" s="3" t="inlineStr">
        <is>
          <t>Sprint 4</t>
        </is>
      </c>
      <c r="I22" s="3" t="inlineStr">
        <is>
          <t>To Do</t>
        </is>
      </c>
    </row>
    <row r="23" ht="52" customHeight="1">
      <c r="A23" s="2" t="inlineStr">
        <is>
          <t>US-022</t>
        </is>
      </c>
      <c r="B23" s="3" t="inlineStr">
        <is>
          <t>Hospitals</t>
        </is>
      </c>
      <c r="C23" s="3" t="inlineStr">
        <is>
          <t>As a patient, I want to lock and confirm an appointment slot so that my booking is reserved</t>
        </is>
      </c>
      <c r="D23" s="3" t="inlineStr">
        <is>
          <t>POST /lock returns lockedUntil (+2 min); POST /confirm creates CONFIRMED appointment; slot becomes BOOKED; lock expiry and double-booking prevented</t>
        </is>
      </c>
      <c r="E23" s="3" t="n">
        <v>3</v>
      </c>
      <c r="F23" s="3" t="inlineStr">
        <is>
          <t>High</t>
        </is>
      </c>
      <c r="G23" s="3" t="inlineStr">
        <is>
          <t>PETZ_TS_11_BookingFlow</t>
        </is>
      </c>
      <c r="H23" s="3" t="inlineStr">
        <is>
          <t>Sprint 4</t>
        </is>
      </c>
      <c r="I23" s="3" t="inlineStr">
        <is>
          <t>To Do</t>
        </is>
      </c>
    </row>
    <row r="24" ht="52" customHeight="1">
      <c r="A24" s="2" t="inlineStr">
        <is>
          <t>US-023</t>
        </is>
      </c>
      <c r="B24" s="3" t="inlineStr">
        <is>
          <t>Hospitals</t>
        </is>
      </c>
      <c r="C24" s="3" t="inlineStr">
        <is>
          <t>As a patient, I want to cancel or reschedule an appointment so that I can adjust my plans</t>
        </is>
      </c>
      <c r="D24" s="3" t="inlineStr">
        <is>
          <t>PATCH /cancel frees slot (irreversible); PATCH /reschedule swaps slots; attend/complete with clinical notes updates pet record; no-show tracked</t>
        </is>
      </c>
      <c r="E24" s="3" t="n">
        <v>3</v>
      </c>
      <c r="F24" s="3" t="inlineStr">
        <is>
          <t>High</t>
        </is>
      </c>
      <c r="G24" s="3" t="inlineStr">
        <is>
          <t>PETZ_TS_12_AppointmentLifecycle</t>
        </is>
      </c>
      <c r="H24" s="3" t="inlineStr">
        <is>
          <t>Sprint 4</t>
        </is>
      </c>
      <c r="I24" s="3" t="inlineStr">
        <is>
          <t>To Do</t>
        </is>
      </c>
    </row>
    <row r="25" ht="52" customHeight="1">
      <c r="A25" s="2" t="inlineStr">
        <is>
          <t>US-024</t>
        </is>
      </c>
      <c r="B25" s="3" t="inlineStr">
        <is>
          <t>Admin</t>
        </is>
      </c>
      <c r="C25" s="3" t="inlineStr">
        <is>
          <t>As an admin, I want to approve or reject hospital registrations so that only verified hospitals are public</t>
        </is>
      </c>
      <c r="D25" s="3" t="inlineStr">
        <is>
          <t>GET /admin/hospitals/pending lists pending; APPROVE sets isVerified:true; REJECT rejects; DISABLE cancels bookings + notifies; 403 for non-admin</t>
        </is>
      </c>
      <c r="E25" s="3" t="n">
        <v>3</v>
      </c>
      <c r="F25" s="3" t="inlineStr">
        <is>
          <t>High</t>
        </is>
      </c>
      <c r="G25" s="3" t="inlineStr">
        <is>
          <t>PETZ_TS_13_HospitalAdminActions</t>
        </is>
      </c>
      <c r="H25" s="3" t="inlineStr">
        <is>
          <t>Sprint 4</t>
        </is>
      </c>
      <c r="I25" s="3" t="inlineStr">
        <is>
          <t>To Do</t>
        </is>
      </c>
    </row>
    <row r="26" ht="52" customHeight="1">
      <c r="A26" s="2" t="inlineStr">
        <is>
          <t>US-025</t>
        </is>
      </c>
      <c r="B26" s="3" t="inlineStr">
        <is>
          <t>Adoption</t>
        </is>
      </c>
      <c r="C26" s="3" t="inlineStr">
        <is>
          <t>As a citizen, I want to browse adoptable pets so that I can find a pet to adopt</t>
        </is>
      </c>
      <c r="D26" s="3" t="inlineStr">
        <is>
          <t>GET /adoptable-pets without auth returns only LISTED pets; distance sort; size=100 max; ADOPTED/ARCHIVED excluded</t>
        </is>
      </c>
      <c r="E26" s="3" t="n">
        <v>2</v>
      </c>
      <c r="F26" s="3" t="inlineStr">
        <is>
          <t>High</t>
        </is>
      </c>
      <c r="G26" s="3" t="inlineStr">
        <is>
          <t>PETZ_TS_14_AdoptablePetsBrowse</t>
        </is>
      </c>
      <c r="H26" s="3" t="inlineStr">
        <is>
          <t>Sprint 4</t>
        </is>
      </c>
      <c r="I26" s="3" t="inlineStr">
        <is>
          <t>To Do</t>
        </is>
      </c>
    </row>
    <row r="27" ht="52" customHeight="1">
      <c r="A27" s="2" t="inlineStr">
        <is>
          <t>US-026</t>
        </is>
      </c>
      <c r="B27" s="3" t="inlineStr">
        <is>
          <t>Adoption</t>
        </is>
      </c>
      <c r="C27" s="3" t="inlineStr">
        <is>
          <t>As a citizen, I want to search pets by species, gender, age, vaccination status so that I can filter results</t>
        </is>
      </c>
      <c r="D27" s="3" t="inlineStr">
        <is>
          <t>GET /adoptable-pets/search filters by species, city, gender, ageMonths range, vaccinated, adoptionReady, specialNeeds</t>
        </is>
      </c>
      <c r="E27" s="3" t="n">
        <v>2</v>
      </c>
      <c r="F27" s="3" t="inlineStr">
        <is>
          <t>High</t>
        </is>
      </c>
      <c r="G27" s="3" t="inlineStr">
        <is>
          <t>PETZ_TS_14_AdoptablePetsBrowse</t>
        </is>
      </c>
      <c r="H27" s="3" t="inlineStr">
        <is>
          <t>Sprint 4</t>
        </is>
      </c>
      <c r="I27" s="3" t="inlineStr">
        <is>
          <t>To Do</t>
        </is>
      </c>
    </row>
    <row r="28" ht="52" customHeight="1">
      <c r="A28" s="2" t="inlineStr">
        <is>
          <t>US-027</t>
        </is>
      </c>
      <c r="B28" s="3" t="inlineStr">
        <is>
          <t>NGO Pet Listings</t>
        </is>
      </c>
      <c r="C28" s="3" t="inlineStr">
        <is>
          <t>As an NGO rep, I want to create and manage pet listings so that citizens can apply to adopt them</t>
        </is>
      </c>
      <c r="D28" s="3" t="inlineStr">
        <is>
          <t>POST /ngo/adoptable-pets requires species; PATCH updates with audit log; POST /archive removes from public browse</t>
        </is>
      </c>
      <c r="E28" s="3" t="n">
        <v>3</v>
      </c>
      <c r="F28" s="3" t="inlineStr">
        <is>
          <t>High</t>
        </is>
      </c>
      <c r="G28" s="3" t="inlineStr">
        <is>
          <t>PETZ_TS_15_NGOPetListingCRUD</t>
        </is>
      </c>
      <c r="H28" s="3" t="inlineStr">
        <is>
          <t>Sprint 4</t>
        </is>
      </c>
      <c r="I28" s="3" t="inlineStr">
        <is>
          <t>To Do</t>
        </is>
      </c>
    </row>
    <row r="29" ht="52" customHeight="1">
      <c r="A29" s="2" t="inlineStr">
        <is>
          <t>US-028</t>
        </is>
      </c>
      <c r="B29" s="3" t="inlineStr">
        <is>
          <t>NGO Pet Listings</t>
        </is>
      </c>
      <c r="C29" s="3" t="inlineStr">
        <is>
          <t>As an NGO rep, I want to upload and manage pet photos so that listings have visual appeal</t>
        </is>
      </c>
      <c r="D29" s="3" t="inlineStr">
        <is>
          <t>POST /media accepts JPEG &lt;=20 MB; &gt;20 MB rejected; PATCH /primary sets primary photo; DELETE removes media</t>
        </is>
      </c>
      <c r="E29" s="3" t="n">
        <v>2</v>
      </c>
      <c r="F29" s="3" t="inlineStr">
        <is>
          <t>Medium</t>
        </is>
      </c>
      <c r="G29" s="3" t="inlineStr">
        <is>
          <t>PETZ_TS_15_NGOPetListingCRUD</t>
        </is>
      </c>
      <c r="H29" s="3" t="inlineStr">
        <is>
          <t>Sprint 4</t>
        </is>
      </c>
      <c r="I29" s="3" t="inlineStr">
        <is>
          <t>To Do</t>
        </is>
      </c>
    </row>
    <row r="30" ht="52" customHeight="1">
      <c r="A30" s="2" t="inlineStr">
        <is>
          <t>US-029</t>
        </is>
      </c>
      <c r="B30" s="3" t="inlineStr">
        <is>
          <t>Adoption Application</t>
        </is>
      </c>
      <c r="C30" s="3" t="inlineStr">
        <is>
          <t>As an adopter, I want to start an adoption application so that I can apply for a pet</t>
        </is>
      </c>
      <c r="D30" s="3" t="inlineStr">
        <is>
          <t>POST /adoption-applications creates DRAFT; second application for same pet returns 409</t>
        </is>
      </c>
      <c r="E30" s="3" t="n">
        <v>2</v>
      </c>
      <c r="F30" s="3" t="inlineStr">
        <is>
          <t>High</t>
        </is>
      </c>
      <c r="G30" s="3" t="inlineStr">
        <is>
          <t>PETZ_TS_16_AdoptionApplication</t>
        </is>
      </c>
      <c r="H30" s="3" t="inlineStr">
        <is>
          <t>Sprint 4</t>
        </is>
      </c>
      <c r="I30" s="3" t="inlineStr">
        <is>
          <t>To Do</t>
        </is>
      </c>
    </row>
    <row r="31" ht="52" customHeight="1">
      <c r="A31" s="2" t="inlineStr">
        <is>
          <t>US-030</t>
        </is>
      </c>
      <c r="B31" s="3" t="inlineStr">
        <is>
          <t>Adoption Application</t>
        </is>
      </c>
      <c r="C31" s="3" t="inlineStr">
        <is>
          <t>As an adopter, I want to fill and submit a multi-step application form so that my request is reviewed by the NGO</t>
        </is>
      </c>
      <c r="D31" s="3" t="inlineStr">
        <is>
          <t>PATCH /{id}/personal, /lifestyle, /experience, /consent save correctly; POST /submit requires all consents:true; duplicate submit returns 409</t>
        </is>
      </c>
      <c r="E31" s="3" t="n">
        <v>3</v>
      </c>
      <c r="F31" s="3" t="inlineStr">
        <is>
          <t>High</t>
        </is>
      </c>
      <c r="G31" s="3" t="inlineStr">
        <is>
          <t>PETZ_TS_16_AdoptionApplication</t>
        </is>
      </c>
      <c r="H31" s="3" t="inlineStr">
        <is>
          <t>Sprint 4</t>
        </is>
      </c>
      <c r="I31" s="3" t="inlineStr">
        <is>
          <t>To Do</t>
        </is>
      </c>
    </row>
    <row r="32" ht="52" customHeight="1">
      <c r="A32" s="2" t="inlineStr">
        <is>
          <t>US-031</t>
        </is>
      </c>
      <c r="B32" s="3" t="inlineStr">
        <is>
          <t>Adoption Application</t>
        </is>
      </c>
      <c r="C32" s="3" t="inlineStr">
        <is>
          <t>As an adopter, I want to upload KYC documents so that my identity can be verified</t>
        </is>
      </c>
      <c r="D32" s="3" t="inlineStr">
        <is>
          <t>POST /documents with PDF &lt;=5 MB sets verificationStatus:PENDING; &gt;5 MB rejected</t>
        </is>
      </c>
      <c r="E32" s="3" t="n">
        <v>2</v>
      </c>
      <c r="F32" s="3" t="inlineStr">
        <is>
          <t>High</t>
        </is>
      </c>
      <c r="G32" s="3" t="inlineStr">
        <is>
          <t>PETZ_TS_16_AdoptionApplication</t>
        </is>
      </c>
      <c r="H32" s="3" t="inlineStr">
        <is>
          <t>Sprint 4</t>
        </is>
      </c>
      <c r="I32" s="3" t="inlineStr">
        <is>
          <t>To Do</t>
        </is>
      </c>
    </row>
    <row r="33" ht="52" customHeight="1">
      <c r="A33" s="2" t="inlineStr">
        <is>
          <t>US-032</t>
        </is>
      </c>
      <c r="B33" s="3" t="inlineStr">
        <is>
          <t>Adoption Application</t>
        </is>
      </c>
      <c r="C33" s="3" t="inlineStr">
        <is>
          <t>As an adopter, I want to withdraw my application so that I can cancel if my situation changes</t>
        </is>
      </c>
      <c r="D33" s="3" t="inlineStr">
        <is>
          <t>POST /withdraw on SUBMITTED sets WITHDRAWN; withdraw on APPROVED returns 409</t>
        </is>
      </c>
      <c r="E33" s="3" t="n">
        <v>1</v>
      </c>
      <c r="F33" s="3" t="inlineStr">
        <is>
          <t>Medium</t>
        </is>
      </c>
      <c r="G33" s="3" t="inlineStr">
        <is>
          <t>PETZ_TS_16_AdoptionApplication</t>
        </is>
      </c>
      <c r="H33" s="3" t="inlineStr">
        <is>
          <t>Sprint 4</t>
        </is>
      </c>
      <c r="I33" s="3" t="inlineStr">
        <is>
          <t>To Do</t>
        </is>
      </c>
    </row>
    <row r="34" ht="52" customHeight="1">
      <c r="A34" s="2" t="inlineStr">
        <is>
          <t>US-033</t>
        </is>
      </c>
      <c r="B34" s="3" t="inlineStr">
        <is>
          <t>Adoption Review</t>
        </is>
      </c>
      <c r="C34" s="3" t="inlineStr">
        <is>
          <t>As an NGO rep, I want to start reviewing and approve or reject applications so that eligible adopters are selected</t>
        </is>
      </c>
      <c r="D34" s="3" t="inlineStr">
        <is>
          <t>POST /review-start sets UNDER_REVIEW; approve requires confirm:true (400 without); reject requires reason (400 without)</t>
        </is>
      </c>
      <c r="E34" s="3" t="n">
        <v>3</v>
      </c>
      <c r="F34" s="3" t="inlineStr">
        <is>
          <t>High</t>
        </is>
      </c>
      <c r="G34" s="3" t="inlineStr">
        <is>
          <t>PETZ_TS_17_AdoptionReviewAndKYC</t>
        </is>
      </c>
      <c r="H34" s="3" t="inlineStr">
        <is>
          <t>Sprint 4</t>
        </is>
      </c>
      <c r="I34" s="3" t="inlineStr">
        <is>
          <t>To Do</t>
        </is>
      </c>
    </row>
    <row r="35" ht="52" customHeight="1">
      <c r="A35" s="2" t="inlineStr">
        <is>
          <t>US-034</t>
        </is>
      </c>
      <c r="B35" s="3" t="inlineStr">
        <is>
          <t>Adoption Review</t>
        </is>
      </c>
      <c r="C35" s="3" t="inlineStr">
        <is>
          <t>As an NGO rep, I want to request clarification and verify KYC documents so that applications are thorough</t>
        </is>
      </c>
      <c r="D35" s="3" t="inlineStr">
        <is>
          <t>POST /clarify sets CLARIFICATION_REQUESTED; POST /verify marks VERIFIED; REJECTED requires reason (400 without)</t>
        </is>
      </c>
      <c r="E35" s="3" t="n">
        <v>2</v>
      </c>
      <c r="F35" s="3" t="inlineStr">
        <is>
          <t>High</t>
        </is>
      </c>
      <c r="G35" s="3" t="inlineStr">
        <is>
          <t>PETZ_TS_17_AdoptionReviewAndKYC</t>
        </is>
      </c>
      <c r="H35" s="3" t="inlineStr">
        <is>
          <t>Sprint 4</t>
        </is>
      </c>
      <c r="I35" s="3" t="inlineStr">
        <is>
          <t>To Do</t>
        </is>
      </c>
    </row>
    <row r="36" ht="52" customHeight="1">
      <c r="A36" s="2" t="inlineStr">
        <is>
          <t>US-035</t>
        </is>
      </c>
      <c r="B36" s="3" t="inlineStr">
        <is>
          <t>Adoption Completion</t>
        </is>
      </c>
      <c r="C36" s="3" t="inlineStr">
        <is>
          <t>As an NGO rep, I want to schedule and confirm the adoption handover so that the adoption is officially complete</t>
        </is>
      </c>
      <c r="D36" s="3" t="inlineStr">
        <is>
          <t>POST /schedule requires APPROVED status; POST /confirm-handover sets COMPLETED; pet becomes ADOPTED; irreversible</t>
        </is>
      </c>
      <c r="E36" s="3" t="n">
        <v>3</v>
      </c>
      <c r="F36" s="3" t="inlineStr">
        <is>
          <t>High</t>
        </is>
      </c>
      <c r="G36" s="3" t="inlineStr">
        <is>
          <t>PETZ_TS_18_AdoptionCompletion</t>
        </is>
      </c>
      <c r="H36" s="3" t="inlineStr">
        <is>
          <t>Sprint 4</t>
        </is>
      </c>
      <c r="I36" s="3" t="inlineStr">
        <is>
          <t>To Do</t>
        </is>
      </c>
    </row>
    <row r="37" ht="52" customHeight="1">
      <c r="A37" s="2" t="inlineStr">
        <is>
          <t>US-036</t>
        </is>
      </c>
      <c r="B37" s="3" t="inlineStr">
        <is>
          <t>Adoption Completion</t>
        </is>
      </c>
      <c r="C37" s="3" t="inlineStr">
        <is>
          <t>As an NGO rep, I want to record follow-up welfare checks so that adopted animals are monitored</t>
        </is>
      </c>
      <c r="D37" s="3" t="inlineStr">
        <is>
          <t>3 auto-created follow-ups (DAY_7, DAY_30, DAY_90); PATCH /COMPLETED or FLAGGED (concernFlag:true triggers admin)</t>
        </is>
      </c>
      <c r="E37" s="3" t="n">
        <v>2</v>
      </c>
      <c r="F37" s="3" t="inlineStr">
        <is>
          <t>Medium</t>
        </is>
      </c>
      <c r="G37" s="3" t="inlineStr">
        <is>
          <t>PETZ_TS_18_AdoptionCompletion</t>
        </is>
      </c>
      <c r="H37" s="3" t="inlineStr">
        <is>
          <t>Sprint 4</t>
        </is>
      </c>
      <c r="I37" s="3" t="inlineStr">
        <is>
          <t>To Do</t>
        </is>
      </c>
    </row>
    <row r="38" ht="52" customHeight="1">
      <c r="A38" s="2" t="inlineStr">
        <is>
          <t>US-037</t>
        </is>
      </c>
      <c r="B38" s="3" t="inlineStr">
        <is>
          <t>Adoption Completion</t>
        </is>
      </c>
      <c r="C38" s="3" t="inlineStr">
        <is>
          <t>As a user, I want to raise a dispute about an adoption so that welfare concerns are formally addressed</t>
        </is>
      </c>
      <c r="D38" s="3" t="inlineStr">
        <is>
          <t>POST /disputes creates OPEN; admin can WARN (RESOLVED) or SUSPEND (account deactivated)</t>
        </is>
      </c>
      <c r="E38" s="3" t="n">
        <v>2</v>
      </c>
      <c r="F38" s="3" t="inlineStr">
        <is>
          <t>High</t>
        </is>
      </c>
      <c r="G38" s="3" t="inlineStr">
        <is>
          <t>PETZ_TS_19_DisputesAndAdminNGO</t>
        </is>
      </c>
      <c r="H38" s="3" t="inlineStr">
        <is>
          <t>Sprint 4</t>
        </is>
      </c>
      <c r="I38" s="3" t="inlineStr">
        <is>
          <t>To Do</t>
        </is>
      </c>
    </row>
    <row r="39" ht="52" customHeight="1">
      <c r="A39" s="2" t="inlineStr">
        <is>
          <t>US-038</t>
        </is>
      </c>
      <c r="B39" s="3" t="inlineStr">
        <is>
          <t>Admin</t>
        </is>
      </c>
      <c r="C39" s="3" t="inlineStr">
        <is>
          <t>As an admin, I want to approve or suspend NGOs so that only trusted organisations operate on the platform</t>
        </is>
      </c>
      <c r="D39" s="3" t="inlineStr">
        <is>
          <t>POST /admin/ngos/{id}/verify APPROVE makes listings public; SUSPEND sets active:false</t>
        </is>
      </c>
      <c r="E39" s="3" t="n">
        <v>2</v>
      </c>
      <c r="F39" s="3" t="inlineStr">
        <is>
          <t>High</t>
        </is>
      </c>
      <c r="G39" s="3" t="inlineStr">
        <is>
          <t>PETZ_TS_19_DisputesAndAdminNGO</t>
        </is>
      </c>
      <c r="H39" s="3" t="inlineStr">
        <is>
          <t>Sprint 4</t>
        </is>
      </c>
      <c r="I39" s="3" t="inlineStr">
        <is>
          <t>To Do</t>
        </is>
      </c>
    </row>
    <row r="40" ht="52" customHeight="1">
      <c r="A40" s="2" t="inlineStr">
        <is>
          <t>US-039</t>
        </is>
      </c>
      <c r="B40" s="3" t="inlineStr">
        <is>
          <t>Admin</t>
        </is>
      </c>
      <c r="C40" s="3" t="inlineStr">
        <is>
          <t>As an admin, I want to view adoption KPI metrics and audit logs so that I can monitor platform health</t>
        </is>
      </c>
      <c r="D40" s="3" t="inlineStr">
        <is>
          <t>GET /metrics returns totalApplications, approvedCount, completedAdoptions, conversionRate, avgReviewTime; GET /audit-logs paginated; 403 for non-admin</t>
        </is>
      </c>
      <c r="E40" s="3" t="n">
        <v>2</v>
      </c>
      <c r="F40" s="3" t="inlineStr">
        <is>
          <t>Medium</t>
        </is>
      </c>
      <c r="G40" s="3" t="inlineStr">
        <is>
          <t>PETZ_TS_19_DisputesAndAdminNGO</t>
        </is>
      </c>
      <c r="H40" s="3" t="inlineStr">
        <is>
          <t>Sprint 4</t>
        </is>
      </c>
      <c r="I40" s="3" t="inlineStr">
        <is>
          <t>To Do</t>
        </is>
      </c>
    </row>
    <row r="41" ht="52" customHeight="1">
      <c r="A41" s="2" t="inlineStr">
        <is>
          <t>US-040</t>
        </is>
      </c>
      <c r="B41" s="3" t="inlineStr">
        <is>
          <t>Security</t>
        </is>
      </c>
      <c r="C41" s="3" t="inlineStr">
        <is>
          <t>As the platform, I want all protected endpoints to enforce JWT authentication and role-based access so that data is secure</t>
        </is>
      </c>
      <c r="D41" s="3" t="inlineStr">
        <is>
          <t>Expired/missing/malformed JWT returns 401; wrong role returns 403; unknown UUID returns 404; empty body returns 400</t>
        </is>
      </c>
      <c r="E41" s="3" t="n">
        <v>3</v>
      </c>
      <c r="F41" s="3" t="inlineStr">
        <is>
          <t>High</t>
        </is>
      </c>
      <c r="G41" s="3" t="inlineStr">
        <is>
          <t>PETZ_TS_20_SecurityAndEdgeCases</t>
        </is>
      </c>
      <c r="H41" s="3" t="inlineStr">
        <is>
          <t>Sprint 4</t>
        </is>
      </c>
      <c r="I41" s="3" t="inlineStr">
        <is>
          <t>To Do</t>
        </is>
      </c>
    </row>
    <row r="42" ht="24" customHeight="1">
      <c r="A42" s="8" t="inlineStr">
        <is>
          <t>TOTAL STORY POINTS</t>
        </is>
      </c>
      <c r="E42" s="1">
        <f>SUM(E2:E41)</f>
        <v/>
      </c>
      <c r="F42" s="9" t="inlineStr"/>
      <c r="G42" s="9" t="inlineStr"/>
      <c r="H42" s="9" t="inlineStr"/>
      <c r="I42" s="9" t="inlineStr"/>
    </row>
  </sheetData>
  <mergeCells count="1">
    <mergeCell ref="A42:D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8" customWidth="1" min="3" max="3"/>
    <col width="22" customWidth="1" min="4" max="4"/>
    <col width="6" customWidth="1" min="5" max="5"/>
    <col width="12" customWidth="1" min="6" max="6"/>
    <col width="8" customWidth="1" min="7" max="7"/>
    <col width="6" customWidth="1" min="8" max="8"/>
    <col width="14" customWidth="1" min="9" max="9"/>
    <col width="22" customWidth="1" min="10" max="10"/>
  </cols>
  <sheetData>
    <row r="1" ht="24" customHeight="1">
      <c r="A1" s="1" t="inlineStr">
        <is>
          <t>US ID</t>
        </is>
      </c>
      <c r="B1" s="1" t="inlineStr">
        <is>
          <t>User Story (Short)</t>
        </is>
      </c>
      <c r="C1" s="1" t="inlineStr">
        <is>
          <t>Test Scenarios Covered</t>
        </is>
      </c>
      <c r="D1" s="1" t="inlineStr">
        <is>
          <t>Test Cases Covered</t>
        </is>
      </c>
      <c r="E1" s="1" t="inlineStr">
        <is>
          <t>SP</t>
        </is>
      </c>
      <c r="F1" s="1" t="inlineStr">
        <is>
          <t>Assigned To</t>
        </is>
      </c>
      <c r="G1" s="1" t="inlineStr">
        <is>
          <t>Week</t>
        </is>
      </c>
      <c r="H1" s="1" t="inlineStr">
        <is>
          <t>Day</t>
        </is>
      </c>
      <c r="I1" s="1" t="inlineStr">
        <is>
          <t>Status</t>
        </is>
      </c>
      <c r="J1" s="1" t="inlineStr">
        <is>
          <t>Acceptance Criteria Met?</t>
        </is>
      </c>
    </row>
    <row r="2" ht="46" customHeight="1">
      <c r="A2" s="2" t="inlineStr">
        <is>
          <t>US-001</t>
        </is>
      </c>
      <c r="B2" s="3" t="inlineStr">
        <is>
          <t>OTP send/verify, rate-limit, missed-call</t>
        </is>
      </c>
      <c r="C2" s="3" t="inlineStr">
        <is>
          <t>PETZ_TS_01_OTP_Auth</t>
        </is>
      </c>
      <c r="D2" s="3" t="inlineStr">
        <is>
          <t>TC001–TC003</t>
        </is>
      </c>
      <c r="E2" s="3" t="n">
        <v>3</v>
      </c>
      <c r="F2" s="3" t="inlineStr">
        <is>
          <t>T1</t>
        </is>
      </c>
      <c r="G2" s="3" t="inlineStr">
        <is>
          <t>Week 1</t>
        </is>
      </c>
      <c r="H2" s="3" t="inlineStr">
        <is>
          <t>D3</t>
        </is>
      </c>
      <c r="I2" s="3" t="inlineStr">
        <is>
          <t>To Do</t>
        </is>
      </c>
      <c r="J2" s="3" t="inlineStr"/>
    </row>
    <row r="3" ht="46" customHeight="1">
      <c r="A3" s="2" t="inlineStr">
        <is>
          <t>US-002</t>
        </is>
      </c>
      <c r="B3" s="3" t="inlineStr">
        <is>
          <t>REPORTER JWT on OTP verify</t>
        </is>
      </c>
      <c r="C3" s="3" t="inlineStr">
        <is>
          <t>PETZ_TS_01_OTP_Auth</t>
        </is>
      </c>
      <c r="D3" s="3" t="inlineStr">
        <is>
          <t>TC003</t>
        </is>
      </c>
      <c r="E3" s="3" t="n">
        <v>1</v>
      </c>
      <c r="F3" s="3" t="inlineStr">
        <is>
          <t>T1</t>
        </is>
      </c>
      <c r="G3" s="3" t="inlineStr">
        <is>
          <t>Week 1</t>
        </is>
      </c>
      <c r="H3" s="3" t="inlineStr">
        <is>
          <t>D3</t>
        </is>
      </c>
      <c r="I3" s="3" t="inlineStr">
        <is>
          <t>To Do</t>
        </is>
      </c>
      <c r="J3" s="3" t="inlineStr"/>
    </row>
    <row r="4" ht="46" customHeight="1">
      <c r="A4" s="2" t="inlineStr">
        <is>
          <t>US-003</t>
        </is>
      </c>
      <c r="B4" s="3" t="inlineStr">
        <is>
          <t>Missed-call fallback navigation</t>
        </is>
      </c>
      <c r="C4" s="3" t="inlineStr">
        <is>
          <t>PETZ_TS_01_OTP_Auth</t>
        </is>
      </c>
      <c r="D4" s="3" t="inlineStr">
        <is>
          <t>TC003</t>
        </is>
      </c>
      <c r="E4" s="3" t="n">
        <v>1</v>
      </c>
      <c r="F4" s="3" t="inlineStr">
        <is>
          <t>T1</t>
        </is>
      </c>
      <c r="G4" s="3" t="inlineStr">
        <is>
          <t>Week 1</t>
        </is>
      </c>
      <c r="H4" s="3" t="inlineStr">
        <is>
          <t>D3</t>
        </is>
      </c>
      <c r="I4" s="3" t="inlineStr">
        <is>
          <t>To Do</t>
        </is>
      </c>
      <c r="J4" s="3" t="inlineStr"/>
    </row>
    <row r="5" ht="46" customHeight="1">
      <c r="A5" s="2" t="inlineStr">
        <is>
          <t>US-004</t>
        </is>
      </c>
      <c r="B5" s="3" t="inlineStr">
        <is>
          <t>Full account registration + validations</t>
        </is>
      </c>
      <c r="C5" s="3" t="inlineStr">
        <is>
          <t>PETZ_TS_02_Registration_Login</t>
        </is>
      </c>
      <c r="D5" s="3" t="inlineStr">
        <is>
          <t>TC004, TC005</t>
        </is>
      </c>
      <c r="E5" s="3" t="n">
        <v>3</v>
      </c>
      <c r="F5" s="3" t="inlineStr">
        <is>
          <t>T1</t>
        </is>
      </c>
      <c r="G5" s="3" t="inlineStr">
        <is>
          <t>Week 1</t>
        </is>
      </c>
      <c r="H5" s="3" t="inlineStr">
        <is>
          <t>D3</t>
        </is>
      </c>
      <c r="I5" s="3" t="inlineStr">
        <is>
          <t>To Do</t>
        </is>
      </c>
      <c r="J5" s="3" t="inlineStr"/>
    </row>
    <row r="6" ht="46" customHeight="1">
      <c r="A6" s="2" t="inlineStr">
        <is>
          <t>US-005</t>
        </is>
      </c>
      <c r="B6" s="3" t="inlineStr">
        <is>
          <t>Password login + lockout (423) + 15-min unlock</t>
        </is>
      </c>
      <c r="C6" s="3" t="inlineStr">
        <is>
          <t>PETZ_TS_02_Registration_Login</t>
        </is>
      </c>
      <c r="D6" s="3" t="inlineStr">
        <is>
          <t>TC006</t>
        </is>
      </c>
      <c r="E6" s="3" t="n">
        <v>3</v>
      </c>
      <c r="F6" s="3" t="inlineStr">
        <is>
          <t>T1</t>
        </is>
      </c>
      <c r="G6" s="3" t="inlineStr">
        <is>
          <t>Week 1</t>
        </is>
      </c>
      <c r="H6" s="3" t="inlineStr">
        <is>
          <t>D3</t>
        </is>
      </c>
      <c r="I6" s="3" t="inlineStr">
        <is>
          <t>To Do</t>
        </is>
      </c>
      <c r="J6" s="3" t="inlineStr"/>
    </row>
    <row r="7" ht="46" customHeight="1">
      <c r="A7" s="2" t="inlineStr">
        <is>
          <t>US-006</t>
        </is>
      </c>
      <c r="B7" s="3" t="inlineStr">
        <is>
          <t>Session conversion REPORTER to full account</t>
        </is>
      </c>
      <c r="C7" s="3" t="inlineStr">
        <is>
          <t>PETZ_TS_03_SessionAndProfile</t>
        </is>
      </c>
      <c r="D7" s="3" t="inlineStr">
        <is>
          <t>TC007</t>
        </is>
      </c>
      <c r="E7" s="3" t="n">
        <v>2</v>
      </c>
      <c r="F7" s="3" t="inlineStr">
        <is>
          <t>T1</t>
        </is>
      </c>
      <c r="G7" s="3" t="inlineStr">
        <is>
          <t>Week 1</t>
        </is>
      </c>
      <c r="H7" s="3" t="inlineStr">
        <is>
          <t>D3</t>
        </is>
      </c>
      <c r="I7" s="3" t="inlineStr">
        <is>
          <t>To Do</t>
        </is>
      </c>
      <c r="J7" s="3" t="inlineStr"/>
    </row>
    <row r="8" ht="46" customHeight="1">
      <c r="A8" s="2" t="inlineStr">
        <is>
          <t>US-007</t>
        </is>
      </c>
      <c r="B8" s="3" t="inlineStr">
        <is>
          <t>GET /users/me profile + 401 without token</t>
        </is>
      </c>
      <c r="C8" s="3" t="inlineStr">
        <is>
          <t>PETZ_TS_03_SessionAndProfile</t>
        </is>
      </c>
      <c r="D8" s="3" t="inlineStr">
        <is>
          <t>TC008</t>
        </is>
      </c>
      <c r="E8" s="3" t="n">
        <v>2</v>
      </c>
      <c r="F8" s="3" t="inlineStr">
        <is>
          <t>T1</t>
        </is>
      </c>
      <c r="G8" s="3" t="inlineStr">
        <is>
          <t>Week 1</t>
        </is>
      </c>
      <c r="H8" s="3" t="inlineStr">
        <is>
          <t>D3</t>
        </is>
      </c>
      <c r="I8" s="3" t="inlineStr">
        <is>
          <t>To Do</t>
        </is>
      </c>
      <c r="J8" s="3" t="inlineStr"/>
    </row>
    <row r="9" ht="46" customHeight="1">
      <c r="A9" s="2" t="inlineStr">
        <is>
          <t>US-008</t>
        </is>
      </c>
      <c r="B9" s="3" t="inlineStr">
        <is>
          <t>PATCH profile; verified-flag reset on email/phone change</t>
        </is>
      </c>
      <c r="C9" s="3" t="inlineStr">
        <is>
          <t>PETZ_TS_03_SessionAndProfile</t>
        </is>
      </c>
      <c r="D9" s="3" t="inlineStr">
        <is>
          <t>TC008</t>
        </is>
      </c>
      <c r="E9" s="3" t="n">
        <v>2</v>
      </c>
      <c r="F9" s="3" t="inlineStr">
        <is>
          <t>T1</t>
        </is>
      </c>
      <c r="G9" s="3" t="inlineStr">
        <is>
          <t>Week 1</t>
        </is>
      </c>
      <c r="H9" s="3" t="inlineStr">
        <is>
          <t>D3</t>
        </is>
      </c>
      <c r="I9" s="3" t="inlineStr">
        <is>
          <t>To Do</t>
        </is>
      </c>
      <c r="J9" s="3" t="inlineStr"/>
    </row>
    <row r="10" ht="46" customHeight="1">
      <c r="A10" s="2" t="inlineStr">
        <is>
          <t>US-009</t>
        </is>
      </c>
      <c r="B10" s="3" t="inlineStr">
        <is>
          <t>Password change; old password rejected</t>
        </is>
      </c>
      <c r="C10" s="3" t="inlineStr">
        <is>
          <t>PETZ_TS_03_SessionAndProfile</t>
        </is>
      </c>
      <c r="D10" s="3" t="inlineStr">
        <is>
          <t>TC009</t>
        </is>
      </c>
      <c r="E10" s="3" t="n">
        <v>2</v>
      </c>
      <c r="F10" s="3" t="inlineStr">
        <is>
          <t>T1</t>
        </is>
      </c>
      <c r="G10" s="3" t="inlineStr">
        <is>
          <t>Week 1</t>
        </is>
      </c>
      <c r="H10" s="3" t="inlineStr">
        <is>
          <t>D3</t>
        </is>
      </c>
      <c r="I10" s="3" t="inlineStr">
        <is>
          <t>To Do</t>
        </is>
      </c>
      <c r="J10" s="3" t="inlineStr"/>
    </row>
    <row r="11" ht="46" customHeight="1">
      <c r="A11" s="2" t="inlineStr">
        <is>
          <t>US-010</t>
        </is>
      </c>
      <c r="B11" s="3" t="inlineStr">
        <is>
          <t>Profile photo upload JPEG/PNG &lt;=20 MB; &gt;20 MB rejected</t>
        </is>
      </c>
      <c r="C11" s="3" t="inlineStr">
        <is>
          <t>PETZ_TS_03_SessionAndProfile</t>
        </is>
      </c>
      <c r="D11" s="3" t="inlineStr">
        <is>
          <t>TC009</t>
        </is>
      </c>
      <c r="E11" s="3" t="n">
        <v>1</v>
      </c>
      <c r="F11" s="3" t="inlineStr">
        <is>
          <t>T1</t>
        </is>
      </c>
      <c r="G11" s="3" t="inlineStr">
        <is>
          <t>Week 1</t>
        </is>
      </c>
      <c r="H11" s="3" t="inlineStr">
        <is>
          <t>D3</t>
        </is>
      </c>
      <c r="I11" s="3" t="inlineStr">
        <is>
          <t>To Do</t>
        </is>
      </c>
      <c r="J11" s="3" t="inlineStr"/>
    </row>
    <row r="12" ht="46" customHeight="1">
      <c r="A12" s="2" t="inlineStr">
        <is>
          <t>US-011</t>
        </is>
      </c>
      <c r="B12" s="3" t="inlineStr">
        <is>
          <t>Paginated notifications; unreadOnly filter; unread count</t>
        </is>
      </c>
      <c r="C12" s="3" t="inlineStr">
        <is>
          <t>PETZ_TS_04_Notifications</t>
        </is>
      </c>
      <c r="D12" s="3" t="inlineStr">
        <is>
          <t>TC010</t>
        </is>
      </c>
      <c r="E12" s="3" t="n">
        <v>2</v>
      </c>
      <c r="F12" s="3" t="inlineStr">
        <is>
          <t>T4</t>
        </is>
      </c>
      <c r="G12" s="3" t="inlineStr">
        <is>
          <t>Week 1</t>
        </is>
      </c>
      <c r="H12" s="3" t="inlineStr">
        <is>
          <t>D3</t>
        </is>
      </c>
      <c r="I12" s="3" t="inlineStr">
        <is>
          <t>To Do</t>
        </is>
      </c>
      <c r="J12" s="3" t="inlineStr"/>
    </row>
    <row r="13" ht="46" customHeight="1">
      <c r="A13" s="2" t="inlineStr">
        <is>
          <t>US-012</t>
        </is>
      </c>
      <c r="B13" s="3" t="inlineStr">
        <is>
          <t>Mark-read; mark-all-read; delete; cross-user 403</t>
        </is>
      </c>
      <c r="C13" s="3" t="inlineStr">
        <is>
          <t>PETZ_TS_04_Notifications</t>
        </is>
      </c>
      <c r="D13" s="3" t="inlineStr">
        <is>
          <t>TC011</t>
        </is>
      </c>
      <c r="E13" s="3" t="n">
        <v>2</v>
      </c>
      <c r="F13" s="3" t="inlineStr">
        <is>
          <t>T4</t>
        </is>
      </c>
      <c r="G13" s="3" t="inlineStr">
        <is>
          <t>Week 1</t>
        </is>
      </c>
      <c r="H13" s="3" t="inlineStr">
        <is>
          <t>D3</t>
        </is>
      </c>
      <c r="I13" s="3" t="inlineStr">
        <is>
          <t>To Do</t>
        </is>
      </c>
      <c r="J13" s="3" t="inlineStr"/>
    </row>
    <row r="14" ht="46" customHeight="1">
      <c r="A14" s="2" t="inlineStr">
        <is>
          <t>US-013</t>
        </is>
      </c>
      <c r="B14" s="3" t="inlineStr">
        <is>
          <t>SOS creation all urgency levels; coordinate bounds; rate-limit</t>
        </is>
      </c>
      <c r="C14" s="3" t="inlineStr">
        <is>
          <t>PETZ_TS_05_SOSReportCreation</t>
        </is>
      </c>
      <c r="D14" s="3" t="inlineStr">
        <is>
          <t>TC012, TC013</t>
        </is>
      </c>
      <c r="E14" s="3" t="n">
        <v>3</v>
      </c>
      <c r="F14" s="3" t="inlineStr">
        <is>
          <t>T1</t>
        </is>
      </c>
      <c r="G14" s="3" t="inlineStr">
        <is>
          <t>Week 1</t>
        </is>
      </c>
      <c r="H14" s="3" t="inlineStr">
        <is>
          <t>D4</t>
        </is>
      </c>
      <c r="I14" s="3" t="inlineStr">
        <is>
          <t>To Do</t>
        </is>
      </c>
      <c r="J14" s="3" t="inlineStr"/>
    </row>
    <row r="15" ht="46" customHeight="1">
      <c r="A15" s="2" t="inlineStr">
        <is>
          <t>US-014</t>
        </is>
      </c>
      <c r="B15" s="3" t="inlineStr">
        <is>
          <t>SOS media upload rules (type/count cap/size)</t>
        </is>
      </c>
      <c r="C15" s="3" t="inlineStr">
        <is>
          <t>PETZ_TS_06_SOSMedia</t>
        </is>
      </c>
      <c r="D15" s="3" t="inlineStr">
        <is>
          <t>TC014</t>
        </is>
      </c>
      <c r="E15" s="3" t="n">
        <v>2</v>
      </c>
      <c r="F15" s="3" t="inlineStr">
        <is>
          <t>T1</t>
        </is>
      </c>
      <c r="G15" s="3" t="inlineStr">
        <is>
          <t>Week 1</t>
        </is>
      </c>
      <c r="H15" s="3" t="inlineStr">
        <is>
          <t>D4</t>
        </is>
      </c>
      <c r="I15" s="3" t="inlineStr">
        <is>
          <t>To Do</t>
        </is>
      </c>
      <c r="J15" s="3" t="inlineStr"/>
    </row>
    <row r="16" ht="46" customHeight="1">
      <c r="A16" s="2" t="inlineStr">
        <is>
          <t>US-015</t>
        </is>
      </c>
      <c r="B16" s="3" t="inlineStr">
        <is>
          <t>NGO registration; one-per-user; unverified hidden from public</t>
        </is>
      </c>
      <c r="C16" s="3" t="inlineStr">
        <is>
          <t>PETZ_TS_07_NGO_Registration_Mission</t>
        </is>
      </c>
      <c r="D16" s="3" t="inlineStr">
        <is>
          <t>TC015</t>
        </is>
      </c>
      <c r="E16" s="3" t="n">
        <v>3</v>
      </c>
      <c r="F16" s="3" t="inlineStr">
        <is>
          <t>T1</t>
        </is>
      </c>
      <c r="G16" s="3" t="inlineStr">
        <is>
          <t>Week 1</t>
        </is>
      </c>
      <c r="H16" s="3" t="inlineStr">
        <is>
          <t>D4</t>
        </is>
      </c>
      <c r="I16" s="3" t="inlineStr">
        <is>
          <t>To Do</t>
        </is>
      </c>
      <c r="J16" s="3" t="inlineStr"/>
    </row>
    <row r="17" ht="46" customHeight="1">
      <c r="A17" s="2" t="inlineStr">
        <is>
          <t>US-016</t>
        </is>
      </c>
      <c r="B17" s="3" t="inlineStr">
        <is>
          <t>Rescue mission lifecycle DISPATCHED to COMPLETED; summary; verify</t>
        </is>
      </c>
      <c r="C17" s="3" t="inlineStr">
        <is>
          <t>PETZ_TS_07_NGO_Registration_Mission</t>
        </is>
      </c>
      <c r="D17" s="3" t="inlineStr">
        <is>
          <t>TC016</t>
        </is>
      </c>
      <c r="E17" s="3" t="n">
        <v>3</v>
      </c>
      <c r="F17" s="3" t="inlineStr">
        <is>
          <t>T1</t>
        </is>
      </c>
      <c r="G17" s="3" t="inlineStr">
        <is>
          <t>Week 1</t>
        </is>
      </c>
      <c r="H17" s="3" t="inlineStr">
        <is>
          <t>D4</t>
        </is>
      </c>
      <c r="I17" s="3" t="inlineStr">
        <is>
          <t>To Do</t>
        </is>
      </c>
      <c r="J17" s="3" t="inlineStr"/>
    </row>
    <row r="18" ht="46" customHeight="1">
      <c r="A18" s="2" t="inlineStr">
        <is>
          <t>US-017</t>
        </is>
      </c>
      <c r="B18" s="3" t="inlineStr">
        <is>
          <t>On-site arrival; assessment; nearby hospital fetch</t>
        </is>
      </c>
      <c r="C18" s="3" t="inlineStr">
        <is>
          <t>PETZ_TS_08_OnSiteRescue</t>
        </is>
      </c>
      <c r="D18" s="3" t="inlineStr">
        <is>
          <t>TC017</t>
        </is>
      </c>
      <c r="E18" s="3" t="n">
        <v>3</v>
      </c>
      <c r="F18" s="3" t="inlineStr">
        <is>
          <t>T2</t>
        </is>
      </c>
      <c r="G18" s="3" t="inlineStr">
        <is>
          <t>Week 1</t>
        </is>
      </c>
      <c r="H18" s="3" t="inlineStr">
        <is>
          <t>D4</t>
        </is>
      </c>
      <c r="I18" s="3" t="inlineStr">
        <is>
          <t>To Do</t>
        </is>
      </c>
      <c r="J18" s="3" t="inlineStr"/>
    </row>
    <row r="19" ht="46" customHeight="1">
      <c r="A19" s="2" t="inlineStr">
        <is>
          <t>US-018</t>
        </is>
      </c>
      <c r="B19" s="3" t="inlineStr">
        <is>
          <t>Hospital alert; emergency booking; handover role guard; release</t>
        </is>
      </c>
      <c r="C19" s="3" t="inlineStr">
        <is>
          <t>PETZ_TS_08_OnSiteRescue</t>
        </is>
      </c>
      <c r="D19" s="3" t="inlineStr">
        <is>
          <t>TC018</t>
        </is>
      </c>
      <c r="E19" s="3" t="n">
        <v>3</v>
      </c>
      <c r="F19" s="3" t="inlineStr">
        <is>
          <t>T2</t>
        </is>
      </c>
      <c r="G19" s="3" t="inlineStr">
        <is>
          <t>Week 1</t>
        </is>
      </c>
      <c r="H19" s="3" t="inlineStr">
        <is>
          <t>D4</t>
        </is>
      </c>
      <c r="I19" s="3" t="inlineStr">
        <is>
          <t>To Do</t>
        </is>
      </c>
      <c r="J19" s="3" t="inlineStr"/>
    </row>
    <row r="20" ht="46" customHeight="1">
      <c r="A20" s="2" t="inlineStr">
        <is>
          <t>US-019</t>
        </is>
      </c>
      <c r="B20" s="3" t="inlineStr">
        <is>
          <t>Public hospital browse; distance sort; verified-only</t>
        </is>
      </c>
      <c r="C20" s="3" t="inlineStr">
        <is>
          <t>PETZ_TS_09_HospitalDiscovery</t>
        </is>
      </c>
      <c r="D20" s="3" t="inlineStr">
        <is>
          <t>TC019</t>
        </is>
      </c>
      <c r="E20" s="3" t="n">
        <v>2</v>
      </c>
      <c r="F20" s="3" t="inlineStr">
        <is>
          <t>T2</t>
        </is>
      </c>
      <c r="G20" s="3" t="inlineStr">
        <is>
          <t>Week 1</t>
        </is>
      </c>
      <c r="H20" s="3" t="inlineStr">
        <is>
          <t>D4</t>
        </is>
      </c>
      <c r="I20" s="3" t="inlineStr">
        <is>
          <t>To Do</t>
        </is>
      </c>
      <c r="J20" s="3" t="inlineStr"/>
    </row>
    <row r="21" ht="46" customHeight="1">
      <c r="A21" s="2" t="inlineStr">
        <is>
          <t>US-020</t>
        </is>
      </c>
      <c r="B21" s="3" t="inlineStr">
        <is>
          <t>Hospital search filters (city/serviceType/openNow); full profile</t>
        </is>
      </c>
      <c r="C21" s="3" t="inlineStr">
        <is>
          <t>PETZ_TS_09_HospitalDiscovery</t>
        </is>
      </c>
      <c r="D21" s="3" t="inlineStr">
        <is>
          <t>TC020</t>
        </is>
      </c>
      <c r="E21" s="3" t="n">
        <v>2</v>
      </c>
      <c r="F21" s="3" t="inlineStr">
        <is>
          <t>T2</t>
        </is>
      </c>
      <c r="G21" s="3" t="inlineStr">
        <is>
          <t>Week 1</t>
        </is>
      </c>
      <c r="H21" s="3" t="inlineStr">
        <is>
          <t>D4</t>
        </is>
      </c>
      <c r="I21" s="3" t="inlineStr">
        <is>
          <t>To Do</t>
        </is>
      </c>
      <c r="J21" s="3" t="inlineStr"/>
    </row>
    <row r="22" ht="46" customHeight="1">
      <c r="A22" s="2" t="inlineStr">
        <is>
          <t>US-021</t>
        </is>
      </c>
      <c r="B22" s="3" t="inlineStr">
        <is>
          <t>Slot creation HH:mm:ss; recurring; blackout behaviour</t>
        </is>
      </c>
      <c r="C22" s="3" t="inlineStr">
        <is>
          <t>PETZ_TS_10_SlotManagement</t>
        </is>
      </c>
      <c r="D22" s="3" t="inlineStr">
        <is>
          <t>TC021, TC022</t>
        </is>
      </c>
      <c r="E22" s="3" t="n">
        <v>3</v>
      </c>
      <c r="F22" s="3" t="inlineStr">
        <is>
          <t>T2</t>
        </is>
      </c>
      <c r="G22" s="3" t="inlineStr">
        <is>
          <t>Week 1</t>
        </is>
      </c>
      <c r="H22" s="3" t="inlineStr">
        <is>
          <t>D5</t>
        </is>
      </c>
      <c r="I22" s="3" t="inlineStr">
        <is>
          <t>To Do</t>
        </is>
      </c>
      <c r="J22" s="3" t="inlineStr"/>
    </row>
    <row r="23" ht="46" customHeight="1">
      <c r="A23" s="2" t="inlineStr">
        <is>
          <t>US-022</t>
        </is>
      </c>
      <c r="B23" s="3" t="inlineStr">
        <is>
          <t>Lock-confirm booking; lock expiry; double-booking prevention</t>
        </is>
      </c>
      <c r="C23" s="3" t="inlineStr">
        <is>
          <t>PETZ_TS_11_BookingFlow</t>
        </is>
      </c>
      <c r="D23" s="3" t="inlineStr">
        <is>
          <t>TC023, TC024</t>
        </is>
      </c>
      <c r="E23" s="3" t="n">
        <v>3</v>
      </c>
      <c r="F23" s="3" t="inlineStr">
        <is>
          <t>T2</t>
        </is>
      </c>
      <c r="G23" s="3" t="inlineStr">
        <is>
          <t>Week 1</t>
        </is>
      </c>
      <c r="H23" s="3" t="inlineStr">
        <is>
          <t>D5</t>
        </is>
      </c>
      <c r="I23" s="3" t="inlineStr">
        <is>
          <t>To Do</t>
        </is>
      </c>
      <c r="J23" s="3" t="inlineStr"/>
    </row>
    <row r="24" ht="46" customHeight="1">
      <c r="A24" s="2" t="inlineStr">
        <is>
          <t>US-023</t>
        </is>
      </c>
      <c r="B24" s="3" t="inlineStr">
        <is>
          <t>Cancel/reschedule; attend; complete (clinical notes); no-show</t>
        </is>
      </c>
      <c r="C24" s="3" t="inlineStr">
        <is>
          <t>PETZ_TS_12_AppointmentLifecycle</t>
        </is>
      </c>
      <c r="D24" s="3" t="inlineStr">
        <is>
          <t>TC025</t>
        </is>
      </c>
      <c r="E24" s="3" t="n">
        <v>3</v>
      </c>
      <c r="F24" s="3" t="inlineStr">
        <is>
          <t>T2</t>
        </is>
      </c>
      <c r="G24" s="3" t="inlineStr">
        <is>
          <t>Week 1</t>
        </is>
      </c>
      <c r="H24" s="3" t="inlineStr">
        <is>
          <t>D5</t>
        </is>
      </c>
      <c r="I24" s="3" t="inlineStr">
        <is>
          <t>To Do</t>
        </is>
      </c>
      <c r="J24" s="3" t="inlineStr"/>
    </row>
    <row r="25" ht="46" customHeight="1">
      <c r="A25" s="2" t="inlineStr">
        <is>
          <t>US-024</t>
        </is>
      </c>
      <c r="B25" s="3" t="inlineStr">
        <is>
          <t>Admin: approve/reject/disable hospital; booking cancellation; 403</t>
        </is>
      </c>
      <c r="C25" s="3" t="inlineStr">
        <is>
          <t>PETZ_TS_13_HospitalAdminActions</t>
        </is>
      </c>
      <c r="D25" s="3" t="inlineStr">
        <is>
          <t>TC027</t>
        </is>
      </c>
      <c r="E25" s="3" t="n">
        <v>3</v>
      </c>
      <c r="F25" s="3" t="inlineStr">
        <is>
          <t>T4</t>
        </is>
      </c>
      <c r="G25" s="3" t="inlineStr">
        <is>
          <t>Week 2</t>
        </is>
      </c>
      <c r="H25" s="3" t="inlineStr">
        <is>
          <t>D6</t>
        </is>
      </c>
      <c r="I25" s="3" t="inlineStr">
        <is>
          <t>To Do</t>
        </is>
      </c>
      <c r="J25" s="3" t="inlineStr"/>
    </row>
    <row r="26" ht="46" customHeight="1">
      <c r="A26" s="2" t="inlineStr">
        <is>
          <t>US-025</t>
        </is>
      </c>
      <c r="B26" s="3" t="inlineStr">
        <is>
          <t>Public pet browse; ADOPTED/ARCHIVED excluded; distance sort; cap</t>
        </is>
      </c>
      <c r="C26" s="3" t="inlineStr">
        <is>
          <t>PETZ_TS_14_AdoptablePetsBrowse</t>
        </is>
      </c>
      <c r="D26" s="3" t="inlineStr">
        <is>
          <t>TC028</t>
        </is>
      </c>
      <c r="E26" s="3" t="n">
        <v>2</v>
      </c>
      <c r="F26" s="3" t="inlineStr">
        <is>
          <t>T3</t>
        </is>
      </c>
      <c r="G26" s="3" t="inlineStr">
        <is>
          <t>Week 2</t>
        </is>
      </c>
      <c r="H26" s="3" t="inlineStr">
        <is>
          <t>D6</t>
        </is>
      </c>
      <c r="I26" s="3" t="inlineStr">
        <is>
          <t>To Do</t>
        </is>
      </c>
      <c r="J26" s="3" t="inlineStr"/>
    </row>
    <row r="27" ht="46" customHeight="1">
      <c r="A27" s="2" t="inlineStr">
        <is>
          <t>US-026</t>
        </is>
      </c>
      <c r="B27" s="3" t="inlineStr">
        <is>
          <t>Pet search multi-filter (species/city/gender/age/vaccinated)</t>
        </is>
      </c>
      <c r="C27" s="3" t="inlineStr">
        <is>
          <t>PETZ_TS_14_AdoptablePetsBrowse</t>
        </is>
      </c>
      <c r="D27" s="3" t="inlineStr">
        <is>
          <t>TC029</t>
        </is>
      </c>
      <c r="E27" s="3" t="n">
        <v>2</v>
      </c>
      <c r="F27" s="3" t="inlineStr">
        <is>
          <t>T3</t>
        </is>
      </c>
      <c r="G27" s="3" t="inlineStr">
        <is>
          <t>Week 2</t>
        </is>
      </c>
      <c r="H27" s="3" t="inlineStr">
        <is>
          <t>D6</t>
        </is>
      </c>
      <c r="I27" s="3" t="inlineStr">
        <is>
          <t>To Do</t>
        </is>
      </c>
      <c r="J27" s="3" t="inlineStr"/>
    </row>
    <row r="28" ht="46" customHeight="1">
      <c r="A28" s="2" t="inlineStr">
        <is>
          <t>US-027</t>
        </is>
      </c>
      <c r="B28" s="3" t="inlineStr">
        <is>
          <t>NGO pet listing CRUD + archive; audit log</t>
        </is>
      </c>
      <c r="C28" s="3" t="inlineStr">
        <is>
          <t>PETZ_TS_15_NGOPetListingCRUD</t>
        </is>
      </c>
      <c r="D28" s="3" t="inlineStr">
        <is>
          <t>TC030</t>
        </is>
      </c>
      <c r="E28" s="3" t="n">
        <v>3</v>
      </c>
      <c r="F28" s="3" t="inlineStr">
        <is>
          <t>T2</t>
        </is>
      </c>
      <c r="G28" s="3" t="inlineStr">
        <is>
          <t>Week 2</t>
        </is>
      </c>
      <c r="H28" s="3" t="inlineStr">
        <is>
          <t>D6</t>
        </is>
      </c>
      <c r="I28" s="3" t="inlineStr">
        <is>
          <t>To Do</t>
        </is>
      </c>
      <c r="J28" s="3" t="inlineStr"/>
    </row>
    <row r="29" ht="46" customHeight="1">
      <c r="A29" s="2" t="inlineStr">
        <is>
          <t>US-028</t>
        </is>
      </c>
      <c r="B29" s="3" t="inlineStr">
        <is>
          <t>Pet media upload; set-primary; delete</t>
        </is>
      </c>
      <c r="C29" s="3" t="inlineStr">
        <is>
          <t>PETZ_TS_15_NGOPetListingCRUD</t>
        </is>
      </c>
      <c r="D29" s="3" t="inlineStr">
        <is>
          <t>TC031</t>
        </is>
      </c>
      <c r="E29" s="3" t="n">
        <v>2</v>
      </c>
      <c r="F29" s="3" t="inlineStr">
        <is>
          <t>T2</t>
        </is>
      </c>
      <c r="G29" s="3" t="inlineStr">
        <is>
          <t>Week 2</t>
        </is>
      </c>
      <c r="H29" s="3" t="inlineStr">
        <is>
          <t>D6</t>
        </is>
      </c>
      <c r="I29" s="3" t="inlineStr">
        <is>
          <t>To Do</t>
        </is>
      </c>
      <c r="J29" s="3" t="inlineStr"/>
    </row>
    <row r="30" ht="46" customHeight="1">
      <c r="A30" s="2" t="inlineStr">
        <is>
          <t>US-029</t>
        </is>
      </c>
      <c r="B30" s="3" t="inlineStr">
        <is>
          <t>Adoption application start DRAFT; one-active-per-pet 409</t>
        </is>
      </c>
      <c r="C30" s="3" t="inlineStr">
        <is>
          <t>PETZ_TS_16_AdoptionApplication</t>
        </is>
      </c>
      <c r="D30" s="3" t="inlineStr">
        <is>
          <t>TC032</t>
        </is>
      </c>
      <c r="E30" s="3" t="n">
        <v>2</v>
      </c>
      <c r="F30" s="3" t="inlineStr">
        <is>
          <t>T3</t>
        </is>
      </c>
      <c r="G30" s="3" t="inlineStr">
        <is>
          <t>Week 2</t>
        </is>
      </c>
      <c r="H30" s="3" t="inlineStr">
        <is>
          <t>D6</t>
        </is>
      </c>
      <c r="I30" s="3" t="inlineStr">
        <is>
          <t>To Do</t>
        </is>
      </c>
      <c r="J30" s="3" t="inlineStr"/>
    </row>
    <row r="31" ht="46" customHeight="1">
      <c r="A31" s="2" t="inlineStr">
        <is>
          <t>US-030</t>
        </is>
      </c>
      <c r="B31" s="3" t="inlineStr">
        <is>
          <t>Multi-step form (personal/lifestyle/experience/consent); submit rules</t>
        </is>
      </c>
      <c r="C31" s="3" t="inlineStr">
        <is>
          <t>PETZ_TS_16_AdoptionApplication</t>
        </is>
      </c>
      <c r="D31" s="3" t="inlineStr">
        <is>
          <t>TC033</t>
        </is>
      </c>
      <c r="E31" s="3" t="n">
        <v>3</v>
      </c>
      <c r="F31" s="3" t="inlineStr">
        <is>
          <t>T3</t>
        </is>
      </c>
      <c r="G31" s="3" t="inlineStr">
        <is>
          <t>Week 2</t>
        </is>
      </c>
      <c r="H31" s="3" t="inlineStr">
        <is>
          <t>D7</t>
        </is>
      </c>
      <c r="I31" s="3" t="inlineStr">
        <is>
          <t>To Do</t>
        </is>
      </c>
      <c r="J31" s="3" t="inlineStr"/>
    </row>
    <row r="32" ht="46" customHeight="1">
      <c r="A32" s="2" t="inlineStr">
        <is>
          <t>US-031</t>
        </is>
      </c>
      <c r="B32" s="3" t="inlineStr">
        <is>
          <t>KYC document upload (PDF &lt;=5 MB); &gt;5 MB rejected</t>
        </is>
      </c>
      <c r="C32" s="3" t="inlineStr">
        <is>
          <t>PETZ_TS_16_AdoptionApplication</t>
        </is>
      </c>
      <c r="D32" s="3" t="inlineStr">
        <is>
          <t>TC034</t>
        </is>
      </c>
      <c r="E32" s="3" t="n">
        <v>2</v>
      </c>
      <c r="F32" s="3" t="inlineStr">
        <is>
          <t>T3</t>
        </is>
      </c>
      <c r="G32" s="3" t="inlineStr">
        <is>
          <t>Week 2</t>
        </is>
      </c>
      <c r="H32" s="3" t="inlineStr">
        <is>
          <t>D7</t>
        </is>
      </c>
      <c r="I32" s="3" t="inlineStr">
        <is>
          <t>To Do</t>
        </is>
      </c>
      <c r="J32" s="3" t="inlineStr"/>
    </row>
    <row r="33" ht="46" customHeight="1">
      <c r="A33" s="2" t="inlineStr">
        <is>
          <t>US-032</t>
        </is>
      </c>
      <c r="B33" s="3" t="inlineStr">
        <is>
          <t>Withdraw SUBMITTED (OK); withdraw APPROVED (409)</t>
        </is>
      </c>
      <c r="C33" s="3" t="inlineStr">
        <is>
          <t>PETZ_TS_16_AdoptionApplication</t>
        </is>
      </c>
      <c r="D33" s="3" t="inlineStr">
        <is>
          <t>TC034</t>
        </is>
      </c>
      <c r="E33" s="3" t="n">
        <v>1</v>
      </c>
      <c r="F33" s="3" t="inlineStr">
        <is>
          <t>T3</t>
        </is>
      </c>
      <c r="G33" s="3" t="inlineStr">
        <is>
          <t>Week 2</t>
        </is>
      </c>
      <c r="H33" s="3" t="inlineStr">
        <is>
          <t>D7</t>
        </is>
      </c>
      <c r="I33" s="3" t="inlineStr">
        <is>
          <t>To Do</t>
        </is>
      </c>
      <c r="J33" s="3" t="inlineStr"/>
    </row>
    <row r="34" ht="46" customHeight="1">
      <c r="A34" s="2" t="inlineStr">
        <is>
          <t>US-033</t>
        </is>
      </c>
      <c r="B34" s="3" t="inlineStr">
        <is>
          <t>NGO review-start; approve (confirm guard); reject (reason required)</t>
        </is>
      </c>
      <c r="C34" s="3" t="inlineStr">
        <is>
          <t>PETZ_TS_17_AdoptionReviewAndKYC</t>
        </is>
      </c>
      <c r="D34" s="3" t="inlineStr">
        <is>
          <t>TC035</t>
        </is>
      </c>
      <c r="E34" s="3" t="n">
        <v>3</v>
      </c>
      <c r="F34" s="3" t="inlineStr">
        <is>
          <t>T1</t>
        </is>
      </c>
      <c r="G34" s="3" t="inlineStr">
        <is>
          <t>Week 2</t>
        </is>
      </c>
      <c r="H34" s="3" t="inlineStr">
        <is>
          <t>D7</t>
        </is>
      </c>
      <c r="I34" s="3" t="inlineStr">
        <is>
          <t>To Do</t>
        </is>
      </c>
      <c r="J34" s="3" t="inlineStr"/>
    </row>
    <row r="35" ht="46" customHeight="1">
      <c r="A35" s="2" t="inlineStr">
        <is>
          <t>US-034</t>
        </is>
      </c>
      <c r="B35" s="3" t="inlineStr">
        <is>
          <t>Clarification request; KYC verify VERIFIED/REJECTED (reason required)</t>
        </is>
      </c>
      <c r="C35" s="3" t="inlineStr">
        <is>
          <t>PETZ_TS_17_AdoptionReviewAndKYC</t>
        </is>
      </c>
      <c r="D35" s="3" t="inlineStr">
        <is>
          <t>TC036</t>
        </is>
      </c>
      <c r="E35" s="3" t="n">
        <v>2</v>
      </c>
      <c r="F35" s="3" t="inlineStr">
        <is>
          <t>T1</t>
        </is>
      </c>
      <c r="G35" s="3" t="inlineStr">
        <is>
          <t>Week 2</t>
        </is>
      </c>
      <c r="H35" s="3" t="inlineStr">
        <is>
          <t>D7</t>
        </is>
      </c>
      <c r="I35" s="3" t="inlineStr">
        <is>
          <t>To Do</t>
        </is>
      </c>
      <c r="J35" s="3" t="inlineStr"/>
    </row>
    <row r="36" ht="46" customHeight="1">
      <c r="A36" s="2" t="inlineStr">
        <is>
          <t>US-035</t>
        </is>
      </c>
      <c r="B36" s="3" t="inlineStr">
        <is>
          <t>Handover schedule (APPROVED required); confirm-handover chain; irreversible</t>
        </is>
      </c>
      <c r="C36" s="3" t="inlineStr">
        <is>
          <t>PETZ_TS_18_AdoptionCompletion</t>
        </is>
      </c>
      <c r="D36" s="3" t="inlineStr">
        <is>
          <t>TC037</t>
        </is>
      </c>
      <c r="E36" s="3" t="n">
        <v>3</v>
      </c>
      <c r="F36" s="3" t="inlineStr">
        <is>
          <t>T3</t>
        </is>
      </c>
      <c r="G36" s="3" t="inlineStr">
        <is>
          <t>Week 2</t>
        </is>
      </c>
      <c r="H36" s="3" t="inlineStr">
        <is>
          <t>D7</t>
        </is>
      </c>
      <c r="I36" s="3" t="inlineStr">
        <is>
          <t>To Do</t>
        </is>
      </c>
      <c r="J36" s="3" t="inlineStr"/>
    </row>
    <row r="37" ht="46" customHeight="1">
      <c r="A37" s="2" t="inlineStr">
        <is>
          <t>US-036</t>
        </is>
      </c>
      <c r="B37" s="3" t="inlineStr">
        <is>
          <t>Follow-up COMPLETED and FLAGGED (admin triggered)</t>
        </is>
      </c>
      <c r="C37" s="3" t="inlineStr">
        <is>
          <t>PETZ_TS_18_AdoptionCompletion</t>
        </is>
      </c>
      <c r="D37" s="3" t="inlineStr">
        <is>
          <t>TC038</t>
        </is>
      </c>
      <c r="E37" s="3" t="n">
        <v>2</v>
      </c>
      <c r="F37" s="3" t="inlineStr">
        <is>
          <t>T3</t>
        </is>
      </c>
      <c r="G37" s="3" t="inlineStr">
        <is>
          <t>Week 2</t>
        </is>
      </c>
      <c r="H37" s="3" t="inlineStr">
        <is>
          <t>D8</t>
        </is>
      </c>
      <c r="I37" s="3" t="inlineStr">
        <is>
          <t>To Do</t>
        </is>
      </c>
      <c r="J37" s="3" t="inlineStr"/>
    </row>
    <row r="38" ht="46" customHeight="1">
      <c r="A38" s="2" t="inlineStr">
        <is>
          <t>US-037</t>
        </is>
      </c>
      <c r="B38" s="3" t="inlineStr">
        <is>
          <t>Raise dispute; admin WARN/SUSPEND resolution</t>
        </is>
      </c>
      <c r="C38" s="3" t="inlineStr">
        <is>
          <t>PETZ_TS_19_DisputesAndAdminNGO</t>
        </is>
      </c>
      <c r="D38" s="3" t="inlineStr">
        <is>
          <t>TC039</t>
        </is>
      </c>
      <c r="E38" s="3" t="n">
        <v>2</v>
      </c>
      <c r="F38" s="3" t="inlineStr">
        <is>
          <t>T1</t>
        </is>
      </c>
      <c r="G38" s="3" t="inlineStr">
        <is>
          <t>Week 2</t>
        </is>
      </c>
      <c r="H38" s="3" t="inlineStr">
        <is>
          <t>D8</t>
        </is>
      </c>
      <c r="I38" s="3" t="inlineStr">
        <is>
          <t>To Do</t>
        </is>
      </c>
      <c r="J38" s="3" t="inlineStr"/>
    </row>
    <row r="39" ht="46" customHeight="1">
      <c r="A39" s="2" t="inlineStr">
        <is>
          <t>US-038</t>
        </is>
      </c>
      <c r="B39" s="3" t="inlineStr">
        <is>
          <t>Admin NGO APPROVE/SUSPEND; listings visibility</t>
        </is>
      </c>
      <c r="C39" s="3" t="inlineStr">
        <is>
          <t>PETZ_TS_19_DisputesAndAdminNGO</t>
        </is>
      </c>
      <c r="D39" s="3" t="inlineStr">
        <is>
          <t>TC040</t>
        </is>
      </c>
      <c r="E39" s="3" t="n">
        <v>2</v>
      </c>
      <c r="F39" s="3" t="inlineStr">
        <is>
          <t>T4</t>
        </is>
      </c>
      <c r="G39" s="3" t="inlineStr">
        <is>
          <t>Week 2</t>
        </is>
      </c>
      <c r="H39" s="3" t="inlineStr">
        <is>
          <t>D8</t>
        </is>
      </c>
      <c r="I39" s="3" t="inlineStr">
        <is>
          <t>To Do</t>
        </is>
      </c>
      <c r="J39" s="3" t="inlineStr"/>
    </row>
    <row r="40" ht="46" customHeight="1">
      <c r="A40" s="2" t="inlineStr">
        <is>
          <t>US-039</t>
        </is>
      </c>
      <c r="B40" s="3" t="inlineStr">
        <is>
          <t>Adoption metrics (KPIs + date range); audit log filters; 403</t>
        </is>
      </c>
      <c r="C40" s="3" t="inlineStr">
        <is>
          <t>PETZ_TS_19_DisputesAndAdminNGO</t>
        </is>
      </c>
      <c r="D40" s="3" t="inlineStr">
        <is>
          <t>TC040</t>
        </is>
      </c>
      <c r="E40" s="3" t="n">
        <v>2</v>
      </c>
      <c r="F40" s="3" t="inlineStr">
        <is>
          <t>T4</t>
        </is>
      </c>
      <c r="G40" s="3" t="inlineStr">
        <is>
          <t>Week 2</t>
        </is>
      </c>
      <c r="H40" s="3" t="inlineStr">
        <is>
          <t>D8</t>
        </is>
      </c>
      <c r="I40" s="3" t="inlineStr">
        <is>
          <t>To Do</t>
        </is>
      </c>
      <c r="J40" s="3" t="inlineStr"/>
    </row>
    <row r="41" ht="46" customHeight="1">
      <c r="A41" s="2" t="inlineStr">
        <is>
          <t>US-040</t>
        </is>
      </c>
      <c r="B41" s="3" t="inlineStr">
        <is>
          <t>JWT expired/missing/malformed 401; wrong role 403; 404/400 edge cases</t>
        </is>
      </c>
      <c r="C41" s="3" t="inlineStr">
        <is>
          <t>PETZ_TS_20_SecurityAndEdgeCases</t>
        </is>
      </c>
      <c r="D41" s="3" t="inlineStr">
        <is>
          <t>TC041, TC042</t>
        </is>
      </c>
      <c r="E41" s="3" t="n">
        <v>3</v>
      </c>
      <c r="F41" s="3" t="inlineStr">
        <is>
          <t>T4</t>
        </is>
      </c>
      <c r="G41" s="3" t="inlineStr">
        <is>
          <t>Week 2</t>
        </is>
      </c>
      <c r="H41" s="3" t="inlineStr">
        <is>
          <t>D9</t>
        </is>
      </c>
      <c r="I41" s="3" t="inlineStr">
        <is>
          <t>To Do</t>
        </is>
      </c>
      <c r="J41" s="3" t="inlineStr"/>
    </row>
    <row r="42" ht="24" customHeight="1">
      <c r="A42" s="8" t="inlineStr">
        <is>
          <t>SPRINT 4 TOTAL STORY POINTS</t>
        </is>
      </c>
      <c r="E42" s="1">
        <f>SUM(E2:E41)</f>
        <v/>
      </c>
      <c r="F42" s="9" t="inlineStr"/>
      <c r="G42" s="9" t="inlineStr"/>
      <c r="H42" s="9" t="inlineStr"/>
      <c r="I42" s="9" t="inlineStr"/>
      <c r="J42" s="9" t="inlineStr"/>
    </row>
  </sheetData>
  <mergeCells count="1">
    <mergeCell ref="A42:D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6" customWidth="1" min="3" max="3"/>
    <col width="34" customWidth="1" min="4" max="4"/>
    <col width="10" customWidth="1" min="5" max="5"/>
    <col width="24" customWidth="1" min="6" max="6"/>
    <col width="26" customWidth="1" min="7" max="7"/>
  </cols>
  <sheetData>
    <row r="1" ht="24" customHeight="1">
      <c r="A1" s="1" t="inlineStr">
        <is>
          <t>Tester</t>
        </is>
      </c>
      <c r="B1" s="1" t="inlineStr">
        <is>
          <t>Role / Module Focus</t>
        </is>
      </c>
      <c r="C1" s="1" t="inlineStr">
        <is>
          <t>Week 1 Tasks</t>
        </is>
      </c>
      <c r="D1" s="1" t="inlineStr">
        <is>
          <t>Week 2 Tasks</t>
        </is>
      </c>
      <c r="E1" s="1" t="inlineStr">
        <is>
          <t>Total SP</t>
        </is>
      </c>
      <c r="F1" s="1" t="inlineStr">
        <is>
          <t>User Stories</t>
        </is>
      </c>
      <c r="G1" s="1" t="inlineStr">
        <is>
          <t>Test Cases</t>
        </is>
      </c>
    </row>
    <row r="2" ht="72" customHeight="1">
      <c r="A2" s="2" t="inlineStr">
        <is>
          <t>T1 – Tester 1</t>
        </is>
      </c>
      <c r="B2" s="3" t="inlineStr">
        <is>
          <t>Auth · SOS · Profile · NGO Rescue · Adoption Review</t>
        </is>
      </c>
      <c r="C2" s="3" t="inlineStr">
        <is>
          <t>US-001–010, US-013–016
TC001–TC016
Scenarios TS_01–TS_08</t>
        </is>
      </c>
      <c r="D2" s="3" t="inlineStr">
        <is>
          <t>US-033–034, US-037
TC033–TC036, TC039
Regression and defect retest</t>
        </is>
      </c>
      <c r="E2" s="3" t="n">
        <v>36</v>
      </c>
      <c r="F2" s="3" t="inlineStr">
        <is>
          <t>US-001 to 010, 013–016, 033–034, 037</t>
        </is>
      </c>
      <c r="G2" s="3" t="inlineStr">
        <is>
          <t>TC001–TC016, TC033–TC036, TC039</t>
        </is>
      </c>
    </row>
    <row r="3" ht="72" customHeight="1">
      <c r="A3" s="2" t="inlineStr">
        <is>
          <t>T2 – Tester 2</t>
        </is>
      </c>
      <c r="B3" s="3" t="inlineStr">
        <is>
          <t>Hospitals · Booking · On-Site Rescue · NGO Pet Listings</t>
        </is>
      </c>
      <c r="C3" s="3" t="inlineStr">
        <is>
          <t>US-017–023
TC017–TC025
Scenarios TS_08–TS_12</t>
        </is>
      </c>
      <c r="D3" s="3" t="inlineStr">
        <is>
          <t>US-027–028
TC027–TC031
Regression</t>
        </is>
      </c>
      <c r="E3" s="3" t="n">
        <v>34</v>
      </c>
      <c r="F3" s="3" t="inlineStr">
        <is>
          <t>US-017 to 023, 027–028</t>
        </is>
      </c>
      <c r="G3" s="3" t="inlineStr">
        <is>
          <t>TC017–TC025, TC027–TC031</t>
        </is>
      </c>
    </row>
    <row r="4" ht="72" customHeight="1">
      <c r="A4" s="2" t="inlineStr">
        <is>
          <t>T3 – Tester 3</t>
        </is>
      </c>
      <c r="B4" s="3" t="inlineStr">
        <is>
          <t>Adoption Flow – Browse through Completion</t>
        </is>
      </c>
      <c r="C4" s="3" t="inlineStr">
        <is>
          <t>US-025–026
Scenarios TS_14–TS_18 authoring</t>
        </is>
      </c>
      <c r="D4" s="3" t="inlineStr">
        <is>
          <t>US-025–026, US-029–032, US-035–036
TC028–TC038</t>
        </is>
      </c>
      <c r="E4" s="3" t="n">
        <v>32</v>
      </c>
      <c r="F4" s="3" t="inlineStr">
        <is>
          <t>US-025, 026, 029–032, 035–036</t>
        </is>
      </c>
      <c r="G4" s="3" t="inlineStr">
        <is>
          <t>TC028–TC038</t>
        </is>
      </c>
    </row>
    <row r="5" ht="72" customHeight="1">
      <c r="A5" s="2" t="inlineStr">
        <is>
          <t>T4 – Tester 4</t>
        </is>
      </c>
      <c r="B5" s="3" t="inlineStr">
        <is>
          <t>Cross-Cutting · Admin · Security · Notifications</t>
        </is>
      </c>
      <c r="C5" s="3" t="inlineStr">
        <is>
          <t>US-011–012, US-019–020
TC010–TC011, TC019–TC020
Scenarios TS_04, TS_09, TS_13, TS_19–20</t>
        </is>
      </c>
      <c r="D5" s="3" t="inlineStr">
        <is>
          <t>US-024, US-038–040
TC027, TC040–TC042
Accessibility and telemetry checks</t>
        </is>
      </c>
      <c r="E5" s="3" t="n">
        <v>36</v>
      </c>
      <c r="F5" s="3" t="inlineStr">
        <is>
          <t>US-011, 012, 019, 020, 024, 038–040</t>
        </is>
      </c>
      <c r="G5" s="3" t="inlineStr">
        <is>
          <t>TC010–TC011, TC019–TC020, TC027, TC040–TC042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2026-05-04T06:58:59Z</dcterms:created>
  <dcterms:modified xmlns:dcterms="http://purl.org/dc/terms/" xmlns:xsi="http://www.w3.org/2001/XMLSchema-instance" xsi:type="dcterms:W3CDTF">2026-05-04T06:58:59Z</dcterms:modified>
</cp:coreProperties>
</file>